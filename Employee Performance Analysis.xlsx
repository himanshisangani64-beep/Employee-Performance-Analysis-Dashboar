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xr:revisionPtr revIDLastSave="0" documentId="8_{02F3EE99-2180-45AB-BCDA-03B052C73F0C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Data Set" sheetId="1" r:id="rId1"/>
    <sheet name="Pivot Table" sheetId="3" r:id="rId2"/>
    <sheet name="Dashboard" sheetId="2" r:id="rId3"/>
  </sheets>
  <definedNames>
    <definedName name="Slicer_Department">#N/A</definedName>
    <definedName name="Slicer_Month">#N/A</definedName>
    <definedName name="Slicer_Position">#N/A</definedName>
  </definedNames>
  <calcPr calcId="191028"/>
  <pivotCaches>
    <pivotCache cacheId="8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2" i="1"/>
  <c r="P2" i="1" s="1"/>
</calcChain>
</file>

<file path=xl/sharedStrings.xml><?xml version="1.0" encoding="utf-8"?>
<sst xmlns="http://schemas.openxmlformats.org/spreadsheetml/2006/main" count="1075" uniqueCount="302">
  <si>
    <t>Employee_ID</t>
  </si>
  <si>
    <t>Department</t>
  </si>
  <si>
    <t>Position</t>
  </si>
  <si>
    <t>Education</t>
  </si>
  <si>
    <t>Join_Date</t>
  </si>
  <si>
    <t>Experience_Years</t>
  </si>
  <si>
    <t>Annual_Salary</t>
  </si>
  <si>
    <t>Performance_Rating</t>
  </si>
  <si>
    <t>Projects_Completed</t>
  </si>
  <si>
    <t>Training_Hours</t>
  </si>
  <si>
    <t>Sick_Leaves</t>
  </si>
  <si>
    <t>Overtime_Hours</t>
  </si>
  <si>
    <t>Job_Satisfaction</t>
  </si>
  <si>
    <t>Work_Life_Balance</t>
  </si>
  <si>
    <t>Current Year</t>
  </si>
  <si>
    <t>Bounes Get</t>
  </si>
  <si>
    <t>Month</t>
  </si>
  <si>
    <t>year</t>
  </si>
  <si>
    <t>EMP001</t>
  </si>
  <si>
    <t>HR</t>
  </si>
  <si>
    <t>Senior</t>
  </si>
  <si>
    <t>PhD</t>
  </si>
  <si>
    <t>EMP002</t>
  </si>
  <si>
    <t>Lead</t>
  </si>
  <si>
    <t>Associates</t>
  </si>
  <si>
    <t>EMP003</t>
  </si>
  <si>
    <t>Operations</t>
  </si>
  <si>
    <t>Mid-level</t>
  </si>
  <si>
    <t>Bachelors</t>
  </si>
  <si>
    <t>EMP004</t>
  </si>
  <si>
    <t>Sales</t>
  </si>
  <si>
    <t>High School</t>
  </si>
  <si>
    <t>EMP005</t>
  </si>
  <si>
    <t>EMP006</t>
  </si>
  <si>
    <t>EMP007</t>
  </si>
  <si>
    <t>EMP008</t>
  </si>
  <si>
    <t>Masters</t>
  </si>
  <si>
    <t>EMP009</t>
  </si>
  <si>
    <t>Finance</t>
  </si>
  <si>
    <t>Junior</t>
  </si>
  <si>
    <t>EMP010</t>
  </si>
  <si>
    <t>EMP011</t>
  </si>
  <si>
    <t>EMP012</t>
  </si>
  <si>
    <t>EMP013</t>
  </si>
  <si>
    <t>EMP014</t>
  </si>
  <si>
    <t>Manager</t>
  </si>
  <si>
    <t>EMP015</t>
  </si>
  <si>
    <t>EMP016</t>
  </si>
  <si>
    <t>EMP017</t>
  </si>
  <si>
    <t>Engineering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</si>
  <si>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</si>
  <si>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</si>
  <si>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</si>
  <si>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</si>
  <si>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</si>
  <si>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</si>
  <si>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</si>
  <si>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</si>
  <si>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</si>
  <si>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Marketing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</si>
  <si>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</si>
  <si>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</si>
  <si>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</si>
  <si>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</si>
  <si>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</si>
  <si>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</si>
  <si>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</si>
  <si>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</si>
  <si>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</si>
  <si>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</si>
  <si>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</si>
  <si>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</si>
  <si>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</si>
  <si>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</si>
  <si>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</si>
  <si>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</si>
  <si>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</si>
  <si>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</si>
  <si>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</si>
  <si>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</si>
  <si>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</si>
  <si>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</si>
  <si>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</si>
  <si>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</si>
  <si>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</si>
  <si>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</si>
  <si>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</si>
  <si>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</si>
  <si>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</si>
  <si>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</si>
  <si>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</si>
  <si>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</si>
  <si>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</si>
  <si>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</si>
  <si>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</si>
  <si>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</si>
  <si>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</si>
  <si>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</si>
  <si>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</si>
  <si>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</si>
  <si>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</si>
  <si>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</si>
  <si>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</si>
  <si>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</si>
  <si>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</si>
  <si>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</si>
  <si>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</si>
  <si>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</si>
  <si>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</si>
  <si>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</si>
  <si>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</si>
  <si>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</si>
  <si>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</si>
  <si>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</si>
  <si>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</si>
  <si>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</si>
  <si>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</si>
  <si>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</si>
  <si>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</si>
  <si>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</si>
  <si>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</si>
  <si>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</si>
  <si>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</si>
  <si>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</si>
  <si>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</si>
  <si>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</si>
  <si>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</si>
  <si>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</si>
  <si>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</si>
  <si>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</si>
  <si>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</si>
  <si>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</si>
  <si>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</si>
  <si>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</si>
  <si>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</si>
  <si>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</si>
  <si>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</si>
  <si>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</si>
  <si>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</si>
  <si>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</si>
  <si>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</si>
  <si>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</si>
  <si>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</si>
  <si>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</si>
  <si>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</si>
  <si>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</si>
  <si>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</si>
  <si>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</si>
  <si>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</si>
  <si>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</si>
  <si>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</si>
  <si>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</si>
  <si>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</si>
  <si>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</si>
  <si>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</si>
  <si>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</si>
  <si>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</si>
  <si>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</si>
  <si>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</si>
  <si>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</si>
  <si>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</si>
  <si>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</si>
  <si>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</si>
  <si>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</si>
  <si>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</si>
  <si>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</si>
  <si>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</si>
  <si>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</si>
  <si>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</si>
  <si>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</si>
  <si>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</si>
  <si>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</si>
  <si>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</si>
  <si>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</si>
  <si>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</si>
  <si>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</si>
  <si>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</si>
  <si>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</si>
  <si>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</si>
  <si>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</si>
  <si>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</si>
  <si>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</si>
  <si>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</si>
  <si>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</si>
  <si>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</si>
  <si>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</si>
  <si>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</si>
  <si>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</si>
  <si>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</si>
  <si>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</si>
  <si>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</si>
  <si>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</si>
  <si>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</si>
  <si>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</si>
  <si>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</si>
  <si>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</si>
  <si>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</si>
  <si>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</si>
  <si>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</si>
  <si>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</si>
  <si>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</si>
  <si>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</si>
  <si>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</si>
  <si>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</si>
  <si>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</si>
  <si>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</si>
  <si>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</si>
  <si>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</si>
  <si>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</si>
  <si>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</si>
  <si>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</si>
  <si>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</si>
  <si>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</si>
  <si>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</si>
  <si>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</si>
  <si>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</si>
  <si>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</si>
  <si>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</si>
  <si>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</si>
  <si>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</si>
  <si>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</si>
  <si>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</si>
  <si>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</si>
  <si>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</si>
  <si>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</si>
  <si>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</si>
  <si>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</si>
  <si>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</si>
  <si>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</si>
  <si>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</si>
  <si>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</si>
  <si>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</si>
  <si>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</si>
  <si>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</si>
  <si>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</si>
  <si>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</si>
  <si>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</si>
  <si>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</si>
  <si>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</si>
  <si>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</si>
  <si>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</si>
  <si>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</si>
  <si>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</si>
  <si>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</si>
  <si>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</si>
  <si>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</si>
  <si>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</si>
  <si>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</si>
  <si>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</si>
  <si>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</si>
  <si>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</si>
  <si>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</si>
  <si>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</si>
  <si>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</si>
  <si>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</si>
  <si>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</si>
  <si>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</si>
  <si>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</si>
  <si>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</si>
  <si>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</si>
  <si>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</si>
  <si>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</si>
  <si>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</si>
  <si>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</si>
  <si>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</si>
  <si>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</si>
  <si>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</si>
  <si>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</si>
  <si>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</si>
  <si>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</si>
  <si>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</si>
  <si>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</si>
  <si>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</si>
  <si>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</si>
  <si>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</si>
  <si>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</si>
  <si>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</si>
  <si>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</si>
  <si>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</si>
  <si>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</si>
  <si>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</si>
  <si>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</si>
  <si>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</si>
  <si>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</si>
  <si>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Total  Employee</t>
  </si>
  <si>
    <t>Total Projects_Completed</t>
  </si>
  <si>
    <t>Sum of Job_Satisfaction</t>
  </si>
  <si>
    <t>Sum of Projects_Completed</t>
  </si>
  <si>
    <t>Sum of Performance_Rating</t>
  </si>
  <si>
    <t>Average  Experience Years</t>
  </si>
  <si>
    <t>Average of Annual_Salary</t>
  </si>
  <si>
    <t>Average Performance Rating</t>
  </si>
  <si>
    <t>Sum of Training_Hours</t>
  </si>
  <si>
    <t>January</t>
  </si>
  <si>
    <t>March</t>
  </si>
  <si>
    <t>Sum of Current Year</t>
  </si>
  <si>
    <t>April</t>
  </si>
  <si>
    <t>July</t>
  </si>
  <si>
    <t>September</t>
  </si>
  <si>
    <t>October</t>
  </si>
  <si>
    <t>November</t>
  </si>
  <si>
    <t>Count of 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</si>
</sst>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4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sz val="11"/>
      <color theme="0"/>
      <name val="Calibri"/>
      <charset val="1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000000"/>
      </right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0" fillId="3" borderId="0" xfId="0" applyFill="1"/>
    <xf numFmtId="14" fontId="0" fillId="0" borderId="0" xfId="0" applyNumberFormat="1"/>
    <xf numFmtId="164" fontId="1" fillId="0" borderId="1" xfId="0" applyNumberFormat="1" applyFont="1" applyBorder="1" applyAlignment="1">
      <alignment readingOrder="1"/>
    </xf>
    <xf numFmtId="0" fontId="0" fillId="0" borderId="0" xfId="0" applyBorder="1"/>
    <xf numFmtId="0" fontId="0" fillId="0" borderId="3" xfId="0" applyBorder="1"/>
    <xf numFmtId="0" fontId="1" fillId="0" borderId="4" xfId="0" applyFont="1" applyBorder="1" applyAlignment="1">
      <alignment readingOrder="1"/>
    </xf>
    <xf numFmtId="0" fontId="2" fillId="2" borderId="5" xfId="0" applyFont="1" applyFill="1" applyBorder="1" applyAlignment="1">
      <alignment horizontal="center" readingOrder="1"/>
    </xf>
    <xf numFmtId="0" fontId="2" fillId="2" borderId="6" xfId="0" applyFont="1" applyFill="1" applyBorder="1" applyAlignment="1">
      <alignment horizontal="center" readingOrder="1"/>
    </xf>
    <xf numFmtId="14" fontId="2" fillId="2" borderId="6" xfId="0" applyNumberFormat="1" applyFont="1" applyFill="1" applyBorder="1" applyAlignment="1">
      <alignment horizontal="center" readingOrder="1"/>
    </xf>
    <xf numFmtId="0" fontId="2" fillId="2" borderId="7" xfId="0" applyFont="1" applyFill="1" applyBorder="1" applyAlignment="1">
      <alignment horizontal="center" readingOrder="1"/>
    </xf>
    <xf numFmtId="0" fontId="2" fillId="2" borderId="8" xfId="0" applyFont="1" applyFill="1" applyBorder="1" applyAlignment="1">
      <alignment horizontal="center" readingOrder="1"/>
    </xf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164" fontId="1" fillId="0" borderId="10" xfId="0" applyNumberFormat="1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0" fillId="0" borderId="0" xfId="0" applyNumberFormat="1"/>
    <xf numFmtId="0" fontId="0" fillId="0" borderId="0" xfId="0" pivotButton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4" borderId="0" xfId="0" applyFill="1"/>
    <xf numFmtId="0" fontId="0" fillId="4" borderId="0" xfId="0" applyNumberFormat="1" applyFill="1"/>
    <xf numFmtId="0" fontId="3" fillId="3" borderId="0" xfId="0" applyFont="1" applyFill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164" formatCode="yyyy\-mm\-dd;@"/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charset val="1"/>
        <scheme val="none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1"/>
    </dxf>
    <dxf>
      <fill>
        <patternFill patternType="solid">
          <fgColor indexed="64"/>
          <bgColor theme="1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2" formatCode="0.00"/>
    </dxf>
    <dxf>
      <numFmt numFmtId="1" formatCode="0"/>
    </dxf>
  </dxfs>
  <tableStyles count="0" defaultTableStyle="TableStyleMedium2" defaultPivotStyle="PivotStyleMedium9"/>
  <colors>
    <mruColors>
      <color rgb="FFC7F707"/>
      <color rgb="FFF70A0A"/>
      <color rgb="FFE617B5"/>
      <color rgb="FF1BE357"/>
      <color rgb="FFC4D65C"/>
      <color rgb="FFE07979"/>
      <color rgb="FF2776A1"/>
      <color rgb="FFC3E4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Analysis.xlsx]Pivot Table!PivotTable6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617B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617B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D0D0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Table'!$D$6:$D$13</c:f>
              <c:strCache>
                <c:ptCount val="8"/>
                <c:pt idx="0">
                  <c:v>EMP143</c:v>
                </c:pt>
                <c:pt idx="1">
                  <c:v>EMP189</c:v>
                </c:pt>
                <c:pt idx="2">
                  <c:v>EMP161</c:v>
                </c:pt>
                <c:pt idx="3">
                  <c:v>EMP020</c:v>
                </c:pt>
                <c:pt idx="4">
                  <c:v>EMP042</c:v>
                </c:pt>
                <c:pt idx="5">
                  <c:v>EMP105</c:v>
                </c:pt>
                <c:pt idx="6">
                  <c:v>EMP007</c:v>
                </c:pt>
                <c:pt idx="7">
                  <c:v>EMP213</c:v>
                </c:pt>
              </c:strCache>
            </c:strRef>
          </c:cat>
          <c:val>
            <c:numRef>
              <c:f>'Pivot Table'!$E$6:$E$13</c:f>
              <c:numCache>
                <c:formatCode>0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8-48D2-AD6C-1D4FB6F7A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7347976"/>
        <c:axId val="747350024"/>
      </c:barChart>
      <c:catAx>
        <c:axId val="747347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350024"/>
        <c:crosses val="autoZero"/>
        <c:auto val="1"/>
        <c:lblAlgn val="ctr"/>
        <c:lblOffset val="100"/>
        <c:noMultiLvlLbl val="0"/>
      </c:catAx>
      <c:valAx>
        <c:axId val="74735002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747347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Analysis.xlsx]Pivot Table!PivotTable8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70A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70A0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Table'!$L$2:$L$9</c:f>
              <c:strCache>
                <c:ptCount val="8"/>
                <c:pt idx="0">
                  <c:v>EMP161</c:v>
                </c:pt>
                <c:pt idx="1">
                  <c:v>EMP189</c:v>
                </c:pt>
                <c:pt idx="2">
                  <c:v>EMP105</c:v>
                </c:pt>
                <c:pt idx="3">
                  <c:v>EMP042</c:v>
                </c:pt>
                <c:pt idx="4">
                  <c:v>EMP143</c:v>
                </c:pt>
                <c:pt idx="5">
                  <c:v>EMP020</c:v>
                </c:pt>
                <c:pt idx="6">
                  <c:v>EMP213</c:v>
                </c:pt>
                <c:pt idx="7">
                  <c:v>EMP007</c:v>
                </c:pt>
              </c:strCache>
            </c:strRef>
          </c:cat>
          <c:val>
            <c:numRef>
              <c:f>'Pivot Table'!$M$2:$M$9</c:f>
              <c:numCache>
                <c:formatCode>0</c:formatCode>
                <c:ptCount val="8"/>
                <c:pt idx="0">
                  <c:v>14</c:v>
                </c:pt>
                <c:pt idx="1">
                  <c:v>14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0-4803-8B89-1C8362D99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7248648"/>
        <c:axId val="747349512"/>
      </c:barChart>
      <c:catAx>
        <c:axId val="747248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349512"/>
        <c:crosses val="autoZero"/>
        <c:auto val="1"/>
        <c:lblAlgn val="ctr"/>
        <c:lblOffset val="100"/>
        <c:noMultiLvlLbl val="0"/>
      </c:catAx>
      <c:valAx>
        <c:axId val="747349512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747248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Analysis.xlsx]Pivot Table!PivotTable7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Table'!$I$1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E5-4419-B81D-AE03D06232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E5-4419-B81D-AE03D06232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E5-4419-B81D-AE03D06232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1E5-4419-B81D-AE03D06232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1E5-4419-B81D-AE03D06232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DA5-47DD-BA25-537C7F35633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DA5-47DD-BA25-537C7F35633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D0D0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Table'!$H$2:$H$9</c:f>
              <c:strCache>
                <c:ptCount val="8"/>
                <c:pt idx="0">
                  <c:v>EMP105</c:v>
                </c:pt>
                <c:pt idx="1">
                  <c:v>EMP189</c:v>
                </c:pt>
                <c:pt idx="2">
                  <c:v>EMP143</c:v>
                </c:pt>
                <c:pt idx="3">
                  <c:v>EMP020</c:v>
                </c:pt>
                <c:pt idx="4">
                  <c:v>EMP213</c:v>
                </c:pt>
                <c:pt idx="5">
                  <c:v>EMP042</c:v>
                </c:pt>
                <c:pt idx="6">
                  <c:v>EMP007</c:v>
                </c:pt>
                <c:pt idx="7">
                  <c:v>EMP161</c:v>
                </c:pt>
              </c:strCache>
            </c:strRef>
          </c:cat>
          <c:val>
            <c:numRef>
              <c:f>'Pivot Table'!$I$2:$I$9</c:f>
              <c:numCache>
                <c:formatCode>0</c:formatCode>
                <c:ptCount val="8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E5-4419-B81D-AE03D0623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Analysis.xlsx]Pivot Table!PivotTable9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 cmpd="sng" algn="ctr">
            <a:solidFill>
              <a:srgbClr val="833C0C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Table'!$Q$1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rgbClr val="833C0C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Table'!$P$2:$P$9</c:f>
              <c:strCache>
                <c:ptCount val="8"/>
                <c:pt idx="0">
                  <c:v>2.1</c:v>
                </c:pt>
                <c:pt idx="1">
                  <c:v>2.4</c:v>
                </c:pt>
                <c:pt idx="2">
                  <c:v>2.8</c:v>
                </c:pt>
                <c:pt idx="3">
                  <c:v>4.3</c:v>
                </c:pt>
                <c:pt idx="4">
                  <c:v>4.5</c:v>
                </c:pt>
                <c:pt idx="5">
                  <c:v>11.9</c:v>
                </c:pt>
                <c:pt idx="6">
                  <c:v>12.2</c:v>
                </c:pt>
                <c:pt idx="7">
                  <c:v>14.6</c:v>
                </c:pt>
              </c:strCache>
            </c:strRef>
          </c:cat>
          <c:val>
            <c:numRef>
              <c:f>'Pivot Table'!$Q$2:$Q$9</c:f>
              <c:numCache>
                <c:formatCode>0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78-44B8-92BC-92011130C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11047"/>
        <c:axId val="82713095"/>
      </c:lineChart>
      <c:catAx>
        <c:axId val="82711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13095"/>
        <c:crosses val="autoZero"/>
        <c:auto val="1"/>
        <c:lblAlgn val="ctr"/>
        <c:lblOffset val="100"/>
        <c:noMultiLvlLbl val="0"/>
      </c:catAx>
      <c:valAx>
        <c:axId val="82713095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11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Analysis.xlsx]Pivot Table!PivotTable10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D0D0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D0D0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Table'!$A$21:$A$28</c:f>
              <c:strCache>
                <c:ptCount val="8"/>
                <c:pt idx="0">
                  <c:v>EMP020</c:v>
                </c:pt>
                <c:pt idx="1">
                  <c:v>EMP189</c:v>
                </c:pt>
                <c:pt idx="2">
                  <c:v>EMP105</c:v>
                </c:pt>
                <c:pt idx="3">
                  <c:v>EMP213</c:v>
                </c:pt>
                <c:pt idx="4">
                  <c:v>EMP042</c:v>
                </c:pt>
                <c:pt idx="5">
                  <c:v>EMP007</c:v>
                </c:pt>
                <c:pt idx="6">
                  <c:v>EMP143</c:v>
                </c:pt>
                <c:pt idx="7">
                  <c:v>EMP161</c:v>
                </c:pt>
              </c:strCache>
            </c:strRef>
          </c:cat>
          <c:val>
            <c:numRef>
              <c:f>'Pivot Table'!$B$21:$B$28</c:f>
              <c:numCache>
                <c:formatCode>0</c:formatCode>
                <c:ptCount val="8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4-4C1C-BA3E-1C539DF3A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6460936"/>
        <c:axId val="3016199"/>
      </c:barChart>
      <c:catAx>
        <c:axId val="2086460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16161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6199"/>
        <c:crosses val="autoZero"/>
        <c:auto val="1"/>
        <c:lblAlgn val="ctr"/>
        <c:lblOffset val="100"/>
        <c:noMultiLvlLbl val="0"/>
      </c:catAx>
      <c:valAx>
        <c:axId val="30161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086460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 Analysis.xlsx]Pivot Table!PivotTable11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Table'!$D$18:$D$24</c:f>
              <c:strCache>
                <c:ptCount val="7"/>
                <c:pt idx="0">
                  <c:v>January</c:v>
                </c:pt>
                <c:pt idx="1">
                  <c:v>March</c:v>
                </c:pt>
                <c:pt idx="2">
                  <c:v>April</c:v>
                </c:pt>
                <c:pt idx="3">
                  <c:v>July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</c:strCache>
            </c:strRef>
          </c:cat>
          <c:val>
            <c:numRef>
              <c:f>'Pivot Table'!$E$18:$E$24</c:f>
              <c:numCache>
                <c:formatCode>0</c:formatCode>
                <c:ptCount val="7"/>
                <c:pt idx="0">
                  <c:v>33</c:v>
                </c:pt>
                <c:pt idx="1">
                  <c:v>68</c:v>
                </c:pt>
                <c:pt idx="2">
                  <c:v>31</c:v>
                </c:pt>
                <c:pt idx="3">
                  <c:v>39</c:v>
                </c:pt>
                <c:pt idx="4">
                  <c:v>48</c:v>
                </c:pt>
                <c:pt idx="5">
                  <c:v>33</c:v>
                </c:pt>
                <c:pt idx="6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B-49C8-BB30-1CE2DD21F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299719"/>
        <c:axId val="1141301767"/>
      </c:barChart>
      <c:catAx>
        <c:axId val="1141299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01767"/>
        <c:crosses val="autoZero"/>
        <c:auto val="1"/>
        <c:lblAlgn val="ctr"/>
        <c:lblOffset val="100"/>
        <c:noMultiLvlLbl val="0"/>
      </c:catAx>
      <c:valAx>
        <c:axId val="11413017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141299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0</xdr:row>
      <xdr:rowOff>-5934075</xdr:rowOff>
    </xdr:from>
    <xdr:to>
      <xdr:col>8</xdr:col>
      <xdr:colOff>495300</xdr:colOff>
      <xdr:row>0</xdr:row>
      <xdr:rowOff>-3295650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onth">
              <a:extLst>
                <a:ext uri="{FF2B5EF4-FFF2-40B4-BE49-F238E27FC236}">
                  <a16:creationId xmlns:a16="http://schemas.microsoft.com/office/drawing/2014/main" id="{5C6B6424-F6F9-7551-F8C9-987A70E3B3B9}"/>
                </a:ext>
                <a:ext uri="{147F2762-F138-4A5C-976F-8EAC2B608ADB}">
                  <a16:predDERef xmlns:a16="http://schemas.microsoft.com/office/drawing/2014/main" pred="{6885C0F5-6CF4-4009-2F90-C44E998233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0250" y="-59340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6</xdr:col>
      <xdr:colOff>542925</xdr:colOff>
      <xdr:row>3</xdr:row>
      <xdr:rowOff>104775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754AEE51-4E3D-7567-BEF9-61D8C5BFB75D}"/>
            </a:ext>
          </a:extLst>
        </xdr:cNvPr>
        <xdr:cNvSpPr/>
      </xdr:nvSpPr>
      <xdr:spPr>
        <a:xfrm>
          <a:off x="0" y="9525"/>
          <a:ext cx="4200525" cy="6667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85725</xdr:colOff>
      <xdr:row>0</xdr:row>
      <xdr:rowOff>180975</xdr:rowOff>
    </xdr:from>
    <xdr:to>
      <xdr:col>6</xdr:col>
      <xdr:colOff>361950</xdr:colOff>
      <xdr:row>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BB3A5E-164D-6682-1E1D-F73AD45EB6BB}"/>
            </a:ext>
            <a:ext uri="{147F2762-F138-4A5C-976F-8EAC2B608ADB}">
              <a16:predDERef xmlns:a16="http://schemas.microsoft.com/office/drawing/2014/main" pred="{754AEE51-4E3D-7567-BEF9-61D8C5BFB75D}"/>
            </a:ext>
          </a:extLst>
        </xdr:cNvPr>
        <xdr:cNvSpPr txBox="1"/>
      </xdr:nvSpPr>
      <xdr:spPr>
        <a:xfrm>
          <a:off x="695325" y="180975"/>
          <a:ext cx="3324225" cy="409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l"/>
          <a:r>
            <a:rPr lang="en-US" sz="1400" b="1">
              <a:solidFill>
                <a:schemeClr val="tx1"/>
              </a:solidFill>
              <a:latin typeface="+mn-lt"/>
              <a:ea typeface="+mn-lt"/>
              <a:cs typeface="+mn-lt"/>
            </a:rPr>
            <a:t>Employee Performance Analysis Dashboard</a:t>
          </a:r>
        </a:p>
      </xdr:txBody>
    </xdr:sp>
    <xdr:clientData/>
  </xdr:twoCellAnchor>
  <xdr:twoCellAnchor editAs="oneCell">
    <xdr:from>
      <xdr:col>0</xdr:col>
      <xdr:colOff>152400</xdr:colOff>
      <xdr:row>0</xdr:row>
      <xdr:rowOff>123825</xdr:rowOff>
    </xdr:from>
    <xdr:to>
      <xdr:col>1</xdr:col>
      <xdr:colOff>28575</xdr:colOff>
      <xdr:row>3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F11B7A-0140-DB19-06FC-187ED65CC2EB}"/>
            </a:ext>
            <a:ext uri="{147F2762-F138-4A5C-976F-8EAC2B608ADB}">
              <a16:predDERef xmlns:a16="http://schemas.microsoft.com/office/drawing/2014/main" pred="{93BB3A5E-164D-6682-1E1D-F73AD45EB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23825"/>
          <a:ext cx="485775" cy="495300"/>
        </a:xfrm>
        <a:prstGeom prst="rect">
          <a:avLst/>
        </a:prstGeom>
      </xdr:spPr>
    </xdr:pic>
    <xdr:clientData/>
  </xdr:twoCellAnchor>
  <xdr:twoCellAnchor>
    <xdr:from>
      <xdr:col>6</xdr:col>
      <xdr:colOff>590550</xdr:colOff>
      <xdr:row>0</xdr:row>
      <xdr:rowOff>38100</xdr:rowOff>
    </xdr:from>
    <xdr:to>
      <xdr:col>9</xdr:col>
      <xdr:colOff>219075</xdr:colOff>
      <xdr:row>3</xdr:row>
      <xdr:rowOff>133350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340C17CE-128E-4E90-8AB7-BBCF6D0B7341}"/>
            </a:ext>
            <a:ext uri="{147F2762-F138-4A5C-976F-8EAC2B608ADB}">
              <a16:predDERef xmlns:a16="http://schemas.microsoft.com/office/drawing/2014/main" pred="{50F11B7A-0140-DB19-06FC-187ED65CC2EB}"/>
            </a:ext>
          </a:extLst>
        </xdr:cNvPr>
        <xdr:cNvSpPr/>
      </xdr:nvSpPr>
      <xdr:spPr>
        <a:xfrm>
          <a:off x="4248150" y="38100"/>
          <a:ext cx="1457325" cy="666750"/>
        </a:xfrm>
        <a:prstGeom prst="roundRect">
          <a:avLst/>
        </a:prstGeom>
        <a:solidFill>
          <a:srgbClr val="C3E4E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9</xdr:col>
      <xdr:colOff>257175</xdr:colOff>
      <xdr:row>0</xdr:row>
      <xdr:rowOff>57150</xdr:rowOff>
    </xdr:from>
    <xdr:to>
      <xdr:col>11</xdr:col>
      <xdr:colOff>523875</xdr:colOff>
      <xdr:row>3</xdr:row>
      <xdr:rowOff>152400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D22C51DC-D544-460B-8F5E-4B6D0F4ABF2C}"/>
            </a:ext>
            <a:ext uri="{147F2762-F138-4A5C-976F-8EAC2B608ADB}">
              <a16:predDERef xmlns:a16="http://schemas.microsoft.com/office/drawing/2014/main" pred="{340C17CE-128E-4E90-8AB7-BBCF6D0B7341}"/>
            </a:ext>
          </a:extLst>
        </xdr:cNvPr>
        <xdr:cNvSpPr/>
      </xdr:nvSpPr>
      <xdr:spPr>
        <a:xfrm>
          <a:off x="5743575" y="57150"/>
          <a:ext cx="1485900" cy="666750"/>
        </a:xfrm>
        <a:prstGeom prst="roundRect">
          <a:avLst/>
        </a:prstGeom>
        <a:solidFill>
          <a:srgbClr val="2776A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561975</xdr:colOff>
      <xdr:row>0</xdr:row>
      <xdr:rowOff>57150</xdr:rowOff>
    </xdr:from>
    <xdr:to>
      <xdr:col>14</xdr:col>
      <xdr:colOff>295275</xdr:colOff>
      <xdr:row>3</xdr:row>
      <xdr:rowOff>152400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D724A6C7-2340-40C2-9C68-6BA17F7EB95A}"/>
            </a:ext>
            <a:ext uri="{147F2762-F138-4A5C-976F-8EAC2B608ADB}">
              <a16:predDERef xmlns:a16="http://schemas.microsoft.com/office/drawing/2014/main" pred="{D22C51DC-D544-460B-8F5E-4B6D0F4ABF2C}"/>
            </a:ext>
          </a:extLst>
        </xdr:cNvPr>
        <xdr:cNvSpPr/>
      </xdr:nvSpPr>
      <xdr:spPr>
        <a:xfrm>
          <a:off x="7267575" y="57150"/>
          <a:ext cx="1562100" cy="666750"/>
        </a:xfrm>
        <a:prstGeom prst="roundRect">
          <a:avLst/>
        </a:prstGeom>
        <a:solidFill>
          <a:srgbClr val="E0797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342900</xdr:colOff>
      <xdr:row>0</xdr:row>
      <xdr:rowOff>57150</xdr:rowOff>
    </xdr:from>
    <xdr:to>
      <xdr:col>17</xdr:col>
      <xdr:colOff>152400</xdr:colOff>
      <xdr:row>3</xdr:row>
      <xdr:rowOff>152400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BD374A9E-A812-4995-9E72-B2F2E08DB99C}"/>
            </a:ext>
            <a:ext uri="{147F2762-F138-4A5C-976F-8EAC2B608ADB}">
              <a16:predDERef xmlns:a16="http://schemas.microsoft.com/office/drawing/2014/main" pred="{D724A6C7-2340-40C2-9C68-6BA17F7EB95A}"/>
            </a:ext>
          </a:extLst>
        </xdr:cNvPr>
        <xdr:cNvSpPr/>
      </xdr:nvSpPr>
      <xdr:spPr>
        <a:xfrm>
          <a:off x="8877300" y="57150"/>
          <a:ext cx="1638300" cy="666750"/>
        </a:xfrm>
        <a:prstGeom prst="roundRect">
          <a:avLst/>
        </a:prstGeom>
        <a:solidFill>
          <a:srgbClr val="C4D65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209550</xdr:colOff>
      <xdr:row>0</xdr:row>
      <xdr:rowOff>38100</xdr:rowOff>
    </xdr:from>
    <xdr:to>
      <xdr:col>20</xdr:col>
      <xdr:colOff>142875</xdr:colOff>
      <xdr:row>3</xdr:row>
      <xdr:rowOff>133350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FBE7E73-42D4-42ED-8ADF-8030B1DEA5AF}"/>
            </a:ext>
            <a:ext uri="{147F2762-F138-4A5C-976F-8EAC2B608ADB}">
              <a16:predDERef xmlns:a16="http://schemas.microsoft.com/office/drawing/2014/main" pred="{BD374A9E-A812-4995-9E72-B2F2E08DB99C}"/>
            </a:ext>
          </a:extLst>
        </xdr:cNvPr>
        <xdr:cNvSpPr/>
      </xdr:nvSpPr>
      <xdr:spPr>
        <a:xfrm>
          <a:off x="10572750" y="38100"/>
          <a:ext cx="1762125" cy="666750"/>
        </a:xfrm>
        <a:prstGeom prst="roundRect">
          <a:avLst/>
        </a:prstGeom>
        <a:solidFill>
          <a:srgbClr val="1BE35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9</xdr:col>
      <xdr:colOff>219075</xdr:colOff>
      <xdr:row>4</xdr:row>
      <xdr:rowOff>19050</xdr:rowOff>
    </xdr:from>
    <xdr:to>
      <xdr:col>15</xdr:col>
      <xdr:colOff>581025</xdr:colOff>
      <xdr:row>7</xdr:row>
      <xdr:rowOff>47625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9BD04156-27A3-4EDE-A660-DFA17CD4C1D7}"/>
            </a:ext>
            <a:ext uri="{147F2762-F138-4A5C-976F-8EAC2B608ADB}">
              <a16:predDERef xmlns:a16="http://schemas.microsoft.com/office/drawing/2014/main" pred="{0FBE7E73-42D4-42ED-8ADF-8030B1DEA5AF}"/>
            </a:ext>
          </a:extLst>
        </xdr:cNvPr>
        <xdr:cNvSpPr/>
      </xdr:nvSpPr>
      <xdr:spPr>
        <a:xfrm>
          <a:off x="5705475" y="781050"/>
          <a:ext cx="4019550" cy="6000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19050</xdr:colOff>
      <xdr:row>4</xdr:row>
      <xdr:rowOff>0</xdr:rowOff>
    </xdr:from>
    <xdr:to>
      <xdr:col>9</xdr:col>
      <xdr:colOff>161925</xdr:colOff>
      <xdr:row>7</xdr:row>
      <xdr:rowOff>47625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ED398EBC-2D31-4116-8330-67D6E2D6D571}"/>
            </a:ext>
            <a:ext uri="{147F2762-F138-4A5C-976F-8EAC2B608ADB}">
              <a16:predDERef xmlns:a16="http://schemas.microsoft.com/office/drawing/2014/main" pred="{9BD04156-27A3-4EDE-A660-DFA17CD4C1D7}"/>
            </a:ext>
          </a:extLst>
        </xdr:cNvPr>
        <xdr:cNvSpPr/>
      </xdr:nvSpPr>
      <xdr:spPr>
        <a:xfrm>
          <a:off x="19050" y="762000"/>
          <a:ext cx="5629275" cy="6191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absolute">
    <xdr:from>
      <xdr:col>0</xdr:col>
      <xdr:colOff>85725</xdr:colOff>
      <xdr:row>4</xdr:row>
      <xdr:rowOff>66675</xdr:rowOff>
    </xdr:from>
    <xdr:to>
      <xdr:col>9</xdr:col>
      <xdr:colOff>0</xdr:colOff>
      <xdr:row>6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Department">
              <a:extLst>
                <a:ext uri="{FF2B5EF4-FFF2-40B4-BE49-F238E27FC236}">
                  <a16:creationId xmlns:a16="http://schemas.microsoft.com/office/drawing/2014/main" id="{9CFCCCF4-9C86-2A68-0107-8CAF5C4307A7}"/>
                </a:ext>
                <a:ext uri="{147F2762-F138-4A5C-976F-8EAC2B608ADB}">
                  <a16:predDERef xmlns:a16="http://schemas.microsoft.com/office/drawing/2014/main" pred="{ED398EBC-2D31-4116-8330-67D6E2D6D5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20625" y="228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9</xdr:col>
      <xdr:colOff>333375</xdr:colOff>
      <xdr:row>4</xdr:row>
      <xdr:rowOff>85725</xdr:rowOff>
    </xdr:from>
    <xdr:to>
      <xdr:col>15</xdr:col>
      <xdr:colOff>457200</xdr:colOff>
      <xdr:row>6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Position">
              <a:extLst>
                <a:ext uri="{FF2B5EF4-FFF2-40B4-BE49-F238E27FC236}">
                  <a16:creationId xmlns:a16="http://schemas.microsoft.com/office/drawing/2014/main" id="{59E0E52A-A20C-B0D1-FAF7-693E13323224}"/>
                </a:ext>
                <a:ext uri="{147F2762-F138-4A5C-976F-8EAC2B608ADB}">
                  <a16:predDERef xmlns:a16="http://schemas.microsoft.com/office/drawing/2014/main" pred="{9CFCCCF4-9C86-2A68-0107-8CAF5C4307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s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9775" y="847725"/>
              <a:ext cx="3781425" cy="45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7</xdr:col>
      <xdr:colOff>114300</xdr:colOff>
      <xdr:row>0</xdr:row>
      <xdr:rowOff>95250</xdr:rowOff>
    </xdr:from>
    <xdr:to>
      <xdr:col>8</xdr:col>
      <xdr:colOff>514350</xdr:colOff>
      <xdr:row>1</xdr:row>
      <xdr:rowOff>171450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50D3051-DAB9-486D-8233-A48D405CA3FC}"/>
            </a:ext>
            <a:ext uri="{147F2762-F138-4A5C-976F-8EAC2B608ADB}">
              <a16:predDERef xmlns:a16="http://schemas.microsoft.com/office/drawing/2014/main" pred="{8D362C8A-07DF-B88A-F167-15D55AA67507}"/>
            </a:ext>
          </a:extLst>
        </xdr:cNvPr>
        <xdr:cNvSpPr txBox="1"/>
      </xdr:nvSpPr>
      <xdr:spPr>
        <a:xfrm>
          <a:off x="4381500" y="95250"/>
          <a:ext cx="1009650" cy="266700"/>
        </a:xfrm>
        <a:prstGeom prst="rect">
          <a:avLst/>
        </a:prstGeom>
        <a:solidFill>
          <a:srgbClr val="C3E4E8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 b="1">
              <a:solidFill>
                <a:schemeClr val="tx1"/>
              </a:solidFill>
              <a:latin typeface="+mn-lt"/>
              <a:ea typeface="+mn-lt"/>
              <a:cs typeface="+mn-lt"/>
            </a:rPr>
            <a:t>Total Employee</a:t>
          </a:r>
        </a:p>
      </xdr:txBody>
    </xdr:sp>
    <xdr:clientData/>
  </xdr:twoCellAnchor>
  <xdr:twoCellAnchor>
    <xdr:from>
      <xdr:col>7</xdr:col>
      <xdr:colOff>152400</xdr:colOff>
      <xdr:row>1</xdr:row>
      <xdr:rowOff>142875</xdr:rowOff>
    </xdr:from>
    <xdr:to>
      <xdr:col>8</xdr:col>
      <xdr:colOff>85725</xdr:colOff>
      <xdr:row>3</xdr:row>
      <xdr:rowOff>28575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B703E75-BA27-4AB5-89D2-C194D92D9213}"/>
            </a:ext>
            <a:ext uri="{147F2762-F138-4A5C-976F-8EAC2B608ADB}">
              <a16:predDERef xmlns:a16="http://schemas.microsoft.com/office/drawing/2014/main" pred="{950D3051-DAB9-486D-8233-A48D405CA3FC}"/>
            </a:ext>
          </a:extLst>
        </xdr:cNvPr>
        <xdr:cNvSpPr txBox="1"/>
      </xdr:nvSpPr>
      <xdr:spPr>
        <a:xfrm>
          <a:off x="4419600" y="333375"/>
          <a:ext cx="542925" cy="266700"/>
        </a:xfrm>
        <a:prstGeom prst="rect">
          <a:avLst/>
        </a:prstGeom>
        <a:solidFill>
          <a:srgbClr val="C3E4E8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 b="1">
              <a:solidFill>
                <a:schemeClr val="tx1"/>
              </a:solidFill>
              <a:latin typeface="+mn-lt"/>
              <a:ea typeface="+mn-lt"/>
              <a:cs typeface="+mn-lt"/>
            </a:rPr>
            <a:t>250</a:t>
          </a:r>
        </a:p>
      </xdr:txBody>
    </xdr:sp>
    <xdr:clientData/>
  </xdr:twoCellAnchor>
  <xdr:twoCellAnchor>
    <xdr:from>
      <xdr:col>9</xdr:col>
      <xdr:colOff>342900</xdr:colOff>
      <xdr:row>0</xdr:row>
      <xdr:rowOff>123825</xdr:rowOff>
    </xdr:from>
    <xdr:to>
      <xdr:col>11</xdr:col>
      <xdr:colOff>457200</xdr:colOff>
      <xdr:row>2</xdr:row>
      <xdr:rowOff>9525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C3B2425-BCA6-4838-9426-81085F9D7F30}"/>
            </a:ext>
            <a:ext uri="{147F2762-F138-4A5C-976F-8EAC2B608ADB}">
              <a16:predDERef xmlns:a16="http://schemas.microsoft.com/office/drawing/2014/main" pred="{4B703E75-BA27-4AB5-89D2-C194D92D9213}"/>
            </a:ext>
          </a:extLst>
        </xdr:cNvPr>
        <xdr:cNvSpPr txBox="1"/>
      </xdr:nvSpPr>
      <xdr:spPr>
        <a:xfrm>
          <a:off x="5829300" y="123825"/>
          <a:ext cx="1333500" cy="266700"/>
        </a:xfrm>
        <a:prstGeom prst="rect">
          <a:avLst/>
        </a:prstGeom>
        <a:solidFill>
          <a:srgbClr val="2776A1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 b="0">
              <a:solidFill>
                <a:schemeClr val="bg1"/>
              </a:solidFill>
              <a:latin typeface="+mn-lt"/>
              <a:ea typeface="+mn-lt"/>
              <a:cs typeface="+mn-lt"/>
            </a:rPr>
            <a:t>Average  Experience </a:t>
          </a:r>
        </a:p>
      </xdr:txBody>
    </xdr:sp>
    <xdr:clientData/>
  </xdr:twoCellAnchor>
  <xdr:twoCellAnchor>
    <xdr:from>
      <xdr:col>12</xdr:col>
      <xdr:colOff>0</xdr:colOff>
      <xdr:row>0</xdr:row>
      <xdr:rowOff>123825</xdr:rowOff>
    </xdr:from>
    <xdr:to>
      <xdr:col>14</xdr:col>
      <xdr:colOff>114300</xdr:colOff>
      <xdr:row>2</xdr:row>
      <xdr:rowOff>9525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7853C96-5C82-4842-9A42-DDEB0D622C00}"/>
            </a:ext>
            <a:ext uri="{147F2762-F138-4A5C-976F-8EAC2B608ADB}">
              <a16:predDERef xmlns:a16="http://schemas.microsoft.com/office/drawing/2014/main" pred="{BC3B2425-BCA6-4838-9426-81085F9D7F30}"/>
            </a:ext>
          </a:extLst>
        </xdr:cNvPr>
        <xdr:cNvSpPr txBox="1"/>
      </xdr:nvSpPr>
      <xdr:spPr>
        <a:xfrm>
          <a:off x="7315200" y="123825"/>
          <a:ext cx="1333500" cy="266700"/>
        </a:xfrm>
        <a:prstGeom prst="rect">
          <a:avLst/>
        </a:prstGeom>
        <a:solidFill>
          <a:srgbClr val="E07979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 b="1">
              <a:solidFill>
                <a:schemeClr val="tx1"/>
              </a:solidFill>
              <a:latin typeface="+mn-lt"/>
              <a:ea typeface="+mn-lt"/>
              <a:cs typeface="+mn-lt"/>
            </a:rPr>
            <a:t>Average  Salary</a:t>
          </a:r>
        </a:p>
      </xdr:txBody>
    </xdr:sp>
    <xdr:clientData/>
  </xdr:twoCellAnchor>
  <xdr:twoCellAnchor>
    <xdr:from>
      <xdr:col>14</xdr:col>
      <xdr:colOff>419100</xdr:colOff>
      <xdr:row>0</xdr:row>
      <xdr:rowOff>123825</xdr:rowOff>
    </xdr:from>
    <xdr:to>
      <xdr:col>16</xdr:col>
      <xdr:colOff>533400</xdr:colOff>
      <xdr:row>2</xdr:row>
      <xdr:rowOff>9525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38C1210-CED0-4846-9DE7-3042C2FC44B2}"/>
            </a:ext>
            <a:ext uri="{147F2762-F138-4A5C-976F-8EAC2B608ADB}">
              <a16:predDERef xmlns:a16="http://schemas.microsoft.com/office/drawing/2014/main" pred="{A7853C96-5C82-4842-9A42-DDEB0D622C00}"/>
            </a:ext>
          </a:extLst>
        </xdr:cNvPr>
        <xdr:cNvSpPr txBox="1"/>
      </xdr:nvSpPr>
      <xdr:spPr>
        <a:xfrm>
          <a:off x="8953500" y="123825"/>
          <a:ext cx="1333500" cy="266700"/>
        </a:xfrm>
        <a:prstGeom prst="rect">
          <a:avLst/>
        </a:prstGeom>
        <a:solidFill>
          <a:srgbClr val="C4D65C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 b="1">
              <a:solidFill>
                <a:schemeClr val="tx1"/>
              </a:solidFill>
              <a:latin typeface="+mn-lt"/>
              <a:ea typeface="+mn-lt"/>
              <a:cs typeface="+mn-lt"/>
            </a:rPr>
            <a:t>Performance Rating</a:t>
          </a:r>
        </a:p>
      </xdr:txBody>
    </xdr:sp>
    <xdr:clientData/>
  </xdr:twoCellAnchor>
  <xdr:twoCellAnchor>
    <xdr:from>
      <xdr:col>17</xdr:col>
      <xdr:colOff>304800</xdr:colOff>
      <xdr:row>0</xdr:row>
      <xdr:rowOff>123825</xdr:rowOff>
    </xdr:from>
    <xdr:to>
      <xdr:col>19</xdr:col>
      <xdr:colOff>419100</xdr:colOff>
      <xdr:row>2</xdr:row>
      <xdr:rowOff>9525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2CCADA1-1CDB-4643-87FA-140E9BB1FD74}"/>
            </a:ext>
            <a:ext uri="{147F2762-F138-4A5C-976F-8EAC2B608ADB}">
              <a16:predDERef xmlns:a16="http://schemas.microsoft.com/office/drawing/2014/main" pred="{138C1210-CED0-4846-9DE7-3042C2FC44B2}"/>
            </a:ext>
          </a:extLst>
        </xdr:cNvPr>
        <xdr:cNvSpPr txBox="1"/>
      </xdr:nvSpPr>
      <xdr:spPr>
        <a:xfrm>
          <a:off x="10668000" y="123825"/>
          <a:ext cx="1333500" cy="266700"/>
        </a:xfrm>
        <a:prstGeom prst="rect">
          <a:avLst/>
        </a:prstGeom>
        <a:solidFill>
          <a:srgbClr val="1BE357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 b="1">
              <a:solidFill>
                <a:schemeClr val="tx1"/>
              </a:solidFill>
              <a:latin typeface="+mn-lt"/>
              <a:ea typeface="+mn-lt"/>
              <a:cs typeface="+mn-lt"/>
            </a:rPr>
            <a:t>Projects Completed</a:t>
          </a:r>
        </a:p>
      </xdr:txBody>
    </xdr:sp>
    <xdr:clientData/>
  </xdr:twoCellAnchor>
  <xdr:twoCellAnchor>
    <xdr:from>
      <xdr:col>9</xdr:col>
      <xdr:colOff>361950</xdr:colOff>
      <xdr:row>1</xdr:row>
      <xdr:rowOff>133350</xdr:rowOff>
    </xdr:from>
    <xdr:to>
      <xdr:col>10</xdr:col>
      <xdr:colOff>295275</xdr:colOff>
      <xdr:row>3</xdr:row>
      <xdr:rowOff>19050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9345281-C164-4F92-B506-6AD435E83737}"/>
            </a:ext>
            <a:ext uri="{147F2762-F138-4A5C-976F-8EAC2B608ADB}">
              <a16:predDERef xmlns:a16="http://schemas.microsoft.com/office/drawing/2014/main" pred="{E2CCADA1-1CDB-4643-87FA-140E9BB1FD74}"/>
            </a:ext>
          </a:extLst>
        </xdr:cNvPr>
        <xdr:cNvSpPr txBox="1"/>
      </xdr:nvSpPr>
      <xdr:spPr>
        <a:xfrm>
          <a:off x="5848350" y="323850"/>
          <a:ext cx="542925" cy="266700"/>
        </a:xfrm>
        <a:prstGeom prst="rect">
          <a:avLst/>
        </a:prstGeom>
        <a:solidFill>
          <a:srgbClr val="2776A1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 b="0">
              <a:solidFill>
                <a:schemeClr val="bg1"/>
              </a:solidFill>
              <a:latin typeface="+mn-lt"/>
              <a:ea typeface="+mn-lt"/>
              <a:cs typeface="+mn-lt"/>
            </a:rPr>
            <a:t>7.7</a:t>
          </a:r>
        </a:p>
      </xdr:txBody>
    </xdr:sp>
    <xdr:clientData/>
  </xdr:twoCellAnchor>
  <xdr:twoCellAnchor>
    <xdr:from>
      <xdr:col>12</xdr:col>
      <xdr:colOff>19050</xdr:colOff>
      <xdr:row>1</xdr:row>
      <xdr:rowOff>123825</xdr:rowOff>
    </xdr:from>
    <xdr:to>
      <xdr:col>13</xdr:col>
      <xdr:colOff>200025</xdr:colOff>
      <xdr:row>3</xdr:row>
      <xdr:rowOff>9525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1830B21-4D1D-46D4-BF22-3B0D5E673364}"/>
            </a:ext>
            <a:ext uri="{147F2762-F138-4A5C-976F-8EAC2B608ADB}">
              <a16:predDERef xmlns:a16="http://schemas.microsoft.com/office/drawing/2014/main" pred="{59345281-C164-4F92-B506-6AD435E83737}"/>
            </a:ext>
          </a:extLst>
        </xdr:cNvPr>
        <xdr:cNvSpPr txBox="1"/>
      </xdr:nvSpPr>
      <xdr:spPr>
        <a:xfrm>
          <a:off x="7334250" y="314325"/>
          <a:ext cx="790575" cy="266700"/>
        </a:xfrm>
        <a:prstGeom prst="rect">
          <a:avLst/>
        </a:prstGeom>
        <a:solidFill>
          <a:srgbClr val="E07979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 b="1">
              <a:solidFill>
                <a:schemeClr val="tx1"/>
              </a:solidFill>
              <a:latin typeface="+mn-lt"/>
              <a:ea typeface="+mn-lt"/>
              <a:cs typeface="+mn-lt"/>
            </a:rPr>
            <a:t>120746.45</a:t>
          </a:r>
        </a:p>
      </xdr:txBody>
    </xdr:sp>
    <xdr:clientData/>
  </xdr:twoCellAnchor>
  <xdr:twoCellAnchor>
    <xdr:from>
      <xdr:col>14</xdr:col>
      <xdr:colOff>438150</xdr:colOff>
      <xdr:row>1</xdr:row>
      <xdr:rowOff>142875</xdr:rowOff>
    </xdr:from>
    <xdr:to>
      <xdr:col>15</xdr:col>
      <xdr:colOff>371475</xdr:colOff>
      <xdr:row>3</xdr:row>
      <xdr:rowOff>28575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AB8A535-C3B6-43E7-BE11-C02FA19C7FA5}"/>
            </a:ext>
            <a:ext uri="{147F2762-F138-4A5C-976F-8EAC2B608ADB}">
              <a16:predDERef xmlns:a16="http://schemas.microsoft.com/office/drawing/2014/main" pred="{D1830B21-4D1D-46D4-BF22-3B0D5E673364}"/>
            </a:ext>
          </a:extLst>
        </xdr:cNvPr>
        <xdr:cNvSpPr txBox="1"/>
      </xdr:nvSpPr>
      <xdr:spPr>
        <a:xfrm>
          <a:off x="8972550" y="333375"/>
          <a:ext cx="542925" cy="266700"/>
        </a:xfrm>
        <a:prstGeom prst="rect">
          <a:avLst/>
        </a:prstGeom>
        <a:solidFill>
          <a:srgbClr val="C4D65C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 b="1">
              <a:solidFill>
                <a:schemeClr val="tx1"/>
              </a:solidFill>
              <a:latin typeface="+mn-lt"/>
              <a:ea typeface="+mn-lt"/>
              <a:cs typeface="+mn-lt"/>
            </a:rPr>
            <a:t>3</a:t>
          </a:r>
        </a:p>
      </xdr:txBody>
    </xdr:sp>
    <xdr:clientData/>
  </xdr:twoCellAnchor>
  <xdr:twoCellAnchor>
    <xdr:from>
      <xdr:col>17</xdr:col>
      <xdr:colOff>295275</xdr:colOff>
      <xdr:row>1</xdr:row>
      <xdr:rowOff>133350</xdr:rowOff>
    </xdr:from>
    <xdr:to>
      <xdr:col>18</xdr:col>
      <xdr:colOff>228600</xdr:colOff>
      <xdr:row>3</xdr:row>
      <xdr:rowOff>19050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A26E49E-DCFB-45B1-97C5-7D54E8D126CF}"/>
            </a:ext>
            <a:ext uri="{147F2762-F138-4A5C-976F-8EAC2B608ADB}">
              <a16:predDERef xmlns:a16="http://schemas.microsoft.com/office/drawing/2014/main" pred="{AAB8A535-C3B6-43E7-BE11-C02FA19C7FA5}"/>
            </a:ext>
          </a:extLst>
        </xdr:cNvPr>
        <xdr:cNvSpPr txBox="1"/>
      </xdr:nvSpPr>
      <xdr:spPr>
        <a:xfrm>
          <a:off x="10658475" y="323850"/>
          <a:ext cx="542925" cy="266700"/>
        </a:xfrm>
        <a:prstGeom prst="rect">
          <a:avLst/>
        </a:prstGeom>
        <a:solidFill>
          <a:srgbClr val="1BE357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 b="1">
              <a:solidFill>
                <a:schemeClr val="tx1"/>
              </a:solidFill>
              <a:latin typeface="+mn-lt"/>
              <a:ea typeface="+mn-lt"/>
              <a:cs typeface="+mn-lt"/>
            </a:rPr>
            <a:t>2358</a:t>
          </a:r>
        </a:p>
      </xdr:txBody>
    </xdr:sp>
    <xdr:clientData/>
  </xdr:twoCellAnchor>
  <xdr:twoCellAnchor>
    <xdr:from>
      <xdr:col>0</xdr:col>
      <xdr:colOff>66675</xdr:colOff>
      <xdr:row>7</xdr:row>
      <xdr:rowOff>95250</xdr:rowOff>
    </xdr:from>
    <xdr:to>
      <xdr:col>8</xdr:col>
      <xdr:colOff>152400</xdr:colOff>
      <xdr:row>18</xdr:row>
      <xdr:rowOff>95250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7CDD857-B4DA-BDD1-817E-9554A938DD6C}"/>
            </a:ext>
            <a:ext uri="{147F2762-F138-4A5C-976F-8EAC2B608ADB}">
              <a16:predDERef xmlns:a16="http://schemas.microsoft.com/office/drawing/2014/main" pred="{3A26E49E-DCFB-45B1-97C5-7D54E8D126CF}"/>
            </a:ext>
          </a:extLst>
        </xdr:cNvPr>
        <xdr:cNvSpPr/>
      </xdr:nvSpPr>
      <xdr:spPr>
        <a:xfrm>
          <a:off x="66675" y="1428750"/>
          <a:ext cx="4962525" cy="2095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276225</xdr:colOff>
      <xdr:row>8</xdr:row>
      <xdr:rowOff>161925</xdr:rowOff>
    </xdr:from>
    <xdr:to>
      <xdr:col>7</xdr:col>
      <xdr:colOff>552450</xdr:colOff>
      <xdr:row>18</xdr:row>
      <xdr:rowOff>0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9C587BAA-DB40-4638-8821-C1302EDFDBA1}"/>
            </a:ext>
            <a:ext uri="{147F2762-F138-4A5C-976F-8EAC2B608ADB}">
              <a16:predDERef xmlns:a16="http://schemas.microsoft.com/office/drawing/2014/main" pred="{77CDD857-B4DA-BDD1-817E-9554A938DD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276225</xdr:colOff>
      <xdr:row>7</xdr:row>
      <xdr:rowOff>133350</xdr:rowOff>
    </xdr:from>
    <xdr:to>
      <xdr:col>5</xdr:col>
      <xdr:colOff>581025</xdr:colOff>
      <xdr:row>9</xdr:row>
      <xdr:rowOff>19050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7A3BA69-8B55-49F1-EB4C-E6425F4FA702}"/>
            </a:ext>
            <a:ext uri="{147F2762-F138-4A5C-976F-8EAC2B608ADB}">
              <a16:predDERef xmlns:a16="http://schemas.microsoft.com/office/drawing/2014/main" pred="{9C587BAA-DB40-4638-8821-C1302EDFDBA1}"/>
            </a:ext>
          </a:extLst>
        </xdr:cNvPr>
        <xdr:cNvSpPr txBox="1"/>
      </xdr:nvSpPr>
      <xdr:spPr>
        <a:xfrm>
          <a:off x="1495425" y="1466850"/>
          <a:ext cx="21336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Employee by  Performance Rating</a:t>
          </a:r>
        </a:p>
      </xdr:txBody>
    </xdr:sp>
    <xdr:clientData/>
  </xdr:twoCellAnchor>
  <xdr:twoCellAnchor>
    <xdr:from>
      <xdr:col>16</xdr:col>
      <xdr:colOff>38100</xdr:colOff>
      <xdr:row>4</xdr:row>
      <xdr:rowOff>38100</xdr:rowOff>
    </xdr:from>
    <xdr:to>
      <xdr:col>20</xdr:col>
      <xdr:colOff>161925</xdr:colOff>
      <xdr:row>18</xdr:row>
      <xdr:rowOff>142875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958D5804-4D8D-4F88-A977-B07F4C3FDA1B}"/>
            </a:ext>
            <a:ext uri="{147F2762-F138-4A5C-976F-8EAC2B608ADB}">
              <a16:predDERef xmlns:a16="http://schemas.microsoft.com/office/drawing/2014/main" pred="{E7A3BA69-8B55-49F1-EB4C-E6425F4FA702}"/>
            </a:ext>
          </a:extLst>
        </xdr:cNvPr>
        <xdr:cNvSpPr/>
      </xdr:nvSpPr>
      <xdr:spPr>
        <a:xfrm>
          <a:off x="9791700" y="800100"/>
          <a:ext cx="2562225" cy="27717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190500</xdr:colOff>
      <xdr:row>6</xdr:row>
      <xdr:rowOff>28575</xdr:rowOff>
    </xdr:from>
    <xdr:to>
      <xdr:col>19</xdr:col>
      <xdr:colOff>600075</xdr:colOff>
      <xdr:row>18</xdr:row>
      <xdr:rowOff>19050</xdr:rowOff>
    </xdr:to>
    <xdr:graphicFrame macro="">
      <xdr:nvGraphicFramePr>
        <xdr:cNvPr id="31" name="Chart 2">
          <a:extLst>
            <a:ext uri="{FF2B5EF4-FFF2-40B4-BE49-F238E27FC236}">
              <a16:creationId xmlns:a16="http://schemas.microsoft.com/office/drawing/2014/main" id="{02417471-2288-4A5C-93C0-FCA02E795AF4}"/>
            </a:ext>
            <a:ext uri="{147F2762-F138-4A5C-976F-8EAC2B608ADB}">
              <a16:predDERef xmlns:a16="http://schemas.microsoft.com/office/drawing/2014/main" pred="{958D5804-4D8D-4F88-A977-B07F4C3FD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333375</xdr:colOff>
      <xdr:row>4</xdr:row>
      <xdr:rowOff>95250</xdr:rowOff>
    </xdr:from>
    <xdr:to>
      <xdr:col>20</xdr:col>
      <xdr:colOff>28575</xdr:colOff>
      <xdr:row>5</xdr:row>
      <xdr:rowOff>171450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A4D71CD-432A-44B0-BDC0-18AD7FFE0F73}"/>
            </a:ext>
            <a:ext uri="{147F2762-F138-4A5C-976F-8EAC2B608ADB}">
              <a16:predDERef xmlns:a16="http://schemas.microsoft.com/office/drawing/2014/main" pred="{02417471-2288-4A5C-93C0-FCA02E795AF4}"/>
            </a:ext>
          </a:extLst>
        </xdr:cNvPr>
        <xdr:cNvSpPr txBox="1"/>
      </xdr:nvSpPr>
      <xdr:spPr>
        <a:xfrm>
          <a:off x="10086975" y="857250"/>
          <a:ext cx="21336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Employee by  Project Work</a:t>
          </a:r>
        </a:p>
      </xdr:txBody>
    </xdr:sp>
    <xdr:clientData/>
  </xdr:twoCellAnchor>
  <xdr:twoCellAnchor>
    <xdr:from>
      <xdr:col>8</xdr:col>
      <xdr:colOff>228600</xdr:colOff>
      <xdr:row>7</xdr:row>
      <xdr:rowOff>123825</xdr:rowOff>
    </xdr:from>
    <xdr:to>
      <xdr:col>15</xdr:col>
      <xdr:colOff>552450</xdr:colOff>
      <xdr:row>18</xdr:row>
      <xdr:rowOff>123825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F06756-2A1D-4EBC-A603-962E922AEF23}"/>
            </a:ext>
            <a:ext uri="{147F2762-F138-4A5C-976F-8EAC2B608ADB}">
              <a16:predDERef xmlns:a16="http://schemas.microsoft.com/office/drawing/2014/main" pred="{DA4D71CD-432A-44B0-BDC0-18AD7FFE0F73}"/>
            </a:ext>
          </a:extLst>
        </xdr:cNvPr>
        <xdr:cNvSpPr/>
      </xdr:nvSpPr>
      <xdr:spPr>
        <a:xfrm>
          <a:off x="5105400" y="1457325"/>
          <a:ext cx="4591050" cy="2095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228600</xdr:colOff>
      <xdr:row>8</xdr:row>
      <xdr:rowOff>19050</xdr:rowOff>
    </xdr:from>
    <xdr:to>
      <xdr:col>13</xdr:col>
      <xdr:colOff>533400</xdr:colOff>
      <xdr:row>9</xdr:row>
      <xdr:rowOff>95250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F07B330-292B-4AA1-8DF8-719DD953368E}"/>
            </a:ext>
            <a:ext uri="{147F2762-F138-4A5C-976F-8EAC2B608ADB}">
              <a16:predDERef xmlns:a16="http://schemas.microsoft.com/office/drawing/2014/main" pred="{89F06756-2A1D-4EBC-A603-962E922AEF23}"/>
            </a:ext>
          </a:extLst>
        </xdr:cNvPr>
        <xdr:cNvSpPr txBox="1"/>
      </xdr:nvSpPr>
      <xdr:spPr>
        <a:xfrm>
          <a:off x="6324600" y="1543050"/>
          <a:ext cx="21336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Employee by   Job Satisfaction</a:t>
          </a:r>
        </a:p>
      </xdr:txBody>
    </xdr:sp>
    <xdr:clientData/>
  </xdr:twoCellAnchor>
  <xdr:twoCellAnchor>
    <xdr:from>
      <xdr:col>8</xdr:col>
      <xdr:colOff>342900</xdr:colOff>
      <xdr:row>9</xdr:row>
      <xdr:rowOff>66675</xdr:rowOff>
    </xdr:from>
    <xdr:to>
      <xdr:col>15</xdr:col>
      <xdr:colOff>485775</xdr:colOff>
      <xdr:row>18</xdr:row>
      <xdr:rowOff>19050</xdr:rowOff>
    </xdr:to>
    <xdr:graphicFrame macro="">
      <xdr:nvGraphicFramePr>
        <xdr:cNvPr id="36" name="Chart 5">
          <a:extLst>
            <a:ext uri="{FF2B5EF4-FFF2-40B4-BE49-F238E27FC236}">
              <a16:creationId xmlns:a16="http://schemas.microsoft.com/office/drawing/2014/main" id="{B06D15A2-4180-4FAF-9574-9860D8E923D5}"/>
            </a:ext>
            <a:ext uri="{147F2762-F138-4A5C-976F-8EAC2B608ADB}">
              <a16:predDERef xmlns:a16="http://schemas.microsoft.com/office/drawing/2014/main" pred="{1F07B330-292B-4AA1-8DF8-719DD9533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</xdr:colOff>
      <xdr:row>18</xdr:row>
      <xdr:rowOff>180975</xdr:rowOff>
    </xdr:from>
    <xdr:to>
      <xdr:col>8</xdr:col>
      <xdr:colOff>161925</xdr:colOff>
      <xdr:row>29</xdr:row>
      <xdr:rowOff>180975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2BFE5508-96C8-4CD8-B462-30C52A8C66B4}"/>
            </a:ext>
            <a:ext uri="{147F2762-F138-4A5C-976F-8EAC2B608ADB}">
              <a16:predDERef xmlns:a16="http://schemas.microsoft.com/office/drawing/2014/main" pred="{B06D15A2-4180-4FAF-9574-9860D8E923D5}"/>
            </a:ext>
          </a:extLst>
        </xdr:cNvPr>
        <xdr:cNvSpPr/>
      </xdr:nvSpPr>
      <xdr:spPr>
        <a:xfrm>
          <a:off x="76200" y="3609975"/>
          <a:ext cx="4962525" cy="2095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219075</xdr:colOff>
      <xdr:row>20</xdr:row>
      <xdr:rowOff>57150</xdr:rowOff>
    </xdr:from>
    <xdr:to>
      <xdr:col>7</xdr:col>
      <xdr:colOff>523875</xdr:colOff>
      <xdr:row>29</xdr:row>
      <xdr:rowOff>19050</xdr:rowOff>
    </xdr:to>
    <xdr:graphicFrame macro="">
      <xdr:nvGraphicFramePr>
        <xdr:cNvPr id="38" name="Chart 6">
          <a:extLst>
            <a:ext uri="{FF2B5EF4-FFF2-40B4-BE49-F238E27FC236}">
              <a16:creationId xmlns:a16="http://schemas.microsoft.com/office/drawing/2014/main" id="{DFC25C33-6B9C-4B7B-B6E2-4903F5C9D8EE}"/>
            </a:ext>
            <a:ext uri="{147F2762-F138-4A5C-976F-8EAC2B608ADB}">
              <a16:predDERef xmlns:a16="http://schemas.microsoft.com/office/drawing/2014/main" pred="{2BFE5508-96C8-4CD8-B462-30C52A8C6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200025</xdr:colOff>
      <xdr:row>19</xdr:row>
      <xdr:rowOff>104775</xdr:rowOff>
    </xdr:from>
    <xdr:to>
      <xdr:col>6</xdr:col>
      <xdr:colOff>390525</xdr:colOff>
      <xdr:row>20</xdr:row>
      <xdr:rowOff>180975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B7920CE-DC19-4AC7-8B82-8C379F55AB7C}"/>
            </a:ext>
            <a:ext uri="{147F2762-F138-4A5C-976F-8EAC2B608ADB}">
              <a16:predDERef xmlns:a16="http://schemas.microsoft.com/office/drawing/2014/main" pred="{DFC25C33-6B9C-4B7B-B6E2-4903F5C9D8EE}"/>
            </a:ext>
          </a:extLst>
        </xdr:cNvPr>
        <xdr:cNvSpPr txBox="1"/>
      </xdr:nvSpPr>
      <xdr:spPr>
        <a:xfrm>
          <a:off x="1419225" y="3724275"/>
          <a:ext cx="26289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Experience  Years by Performance_Rating</a:t>
          </a:r>
        </a:p>
      </xdr:txBody>
    </xdr:sp>
    <xdr:clientData/>
  </xdr:twoCellAnchor>
  <xdr:twoCellAnchor>
    <xdr:from>
      <xdr:col>8</xdr:col>
      <xdr:colOff>209550</xdr:colOff>
      <xdr:row>19</xdr:row>
      <xdr:rowOff>0</xdr:rowOff>
    </xdr:from>
    <xdr:to>
      <xdr:col>14</xdr:col>
      <xdr:colOff>361950</xdr:colOff>
      <xdr:row>30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DED25AA-21F2-4CE3-9410-63CABA91DCB9}"/>
            </a:ext>
            <a:ext uri="{147F2762-F138-4A5C-976F-8EAC2B608ADB}">
              <a16:predDERef xmlns:a16="http://schemas.microsoft.com/office/drawing/2014/main" pred="{2B7920CE-DC19-4AC7-8B82-8C379F55AB7C}"/>
            </a:ext>
          </a:extLst>
        </xdr:cNvPr>
        <xdr:cNvSpPr/>
      </xdr:nvSpPr>
      <xdr:spPr>
        <a:xfrm>
          <a:off x="5086350" y="3619500"/>
          <a:ext cx="3810000" cy="2095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276225</xdr:colOff>
      <xdr:row>20</xdr:row>
      <xdr:rowOff>171450</xdr:rowOff>
    </xdr:from>
    <xdr:to>
      <xdr:col>14</xdr:col>
      <xdr:colOff>219075</xdr:colOff>
      <xdr:row>29</xdr:row>
      <xdr:rowOff>38100</xdr:rowOff>
    </xdr:to>
    <xdr:graphicFrame macro="">
      <xdr:nvGraphicFramePr>
        <xdr:cNvPr id="42" name="Chart 8">
          <a:extLst>
            <a:ext uri="{FF2B5EF4-FFF2-40B4-BE49-F238E27FC236}">
              <a16:creationId xmlns:a16="http://schemas.microsoft.com/office/drawing/2014/main" id="{217827A5-0763-41BD-8C28-2C18655ECE96}"/>
            </a:ext>
            <a:ext uri="{147F2762-F138-4A5C-976F-8EAC2B608ADB}">
              <a16:predDERef xmlns:a16="http://schemas.microsoft.com/office/drawing/2014/main" pred="{8DED25AA-21F2-4CE3-9410-63CABA91D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523875</xdr:colOff>
      <xdr:row>19</xdr:row>
      <xdr:rowOff>38100</xdr:rowOff>
    </xdr:from>
    <xdr:to>
      <xdr:col>13</xdr:col>
      <xdr:colOff>95250</xdr:colOff>
      <xdr:row>20</xdr:row>
      <xdr:rowOff>114300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25135D2-2174-47F2-9461-92DEA18B43B5}"/>
            </a:ext>
            <a:ext uri="{147F2762-F138-4A5C-976F-8EAC2B608ADB}">
              <a16:predDERef xmlns:a16="http://schemas.microsoft.com/office/drawing/2014/main" pred="{217827A5-0763-41BD-8C28-2C18655ECE96}"/>
            </a:ext>
          </a:extLst>
        </xdr:cNvPr>
        <xdr:cNvSpPr txBox="1"/>
      </xdr:nvSpPr>
      <xdr:spPr>
        <a:xfrm>
          <a:off x="6010275" y="3657600"/>
          <a:ext cx="2009775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 Employee Current  Experience</a:t>
          </a:r>
        </a:p>
      </xdr:txBody>
    </xdr:sp>
    <xdr:clientData/>
  </xdr:twoCellAnchor>
  <xdr:twoCellAnchor>
    <xdr:from>
      <xdr:col>14</xdr:col>
      <xdr:colOff>390525</xdr:colOff>
      <xdr:row>19</xdr:row>
      <xdr:rowOff>9525</xdr:rowOff>
    </xdr:from>
    <xdr:to>
      <xdr:col>20</xdr:col>
      <xdr:colOff>219075</xdr:colOff>
      <xdr:row>30</xdr:row>
      <xdr:rowOff>9525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54326AB9-15B7-4DB6-92B5-9BCBD3DD16B0}"/>
            </a:ext>
            <a:ext uri="{147F2762-F138-4A5C-976F-8EAC2B608ADB}">
              <a16:predDERef xmlns:a16="http://schemas.microsoft.com/office/drawing/2014/main" pred="{525135D2-2174-47F2-9461-92DEA18B43B5}"/>
            </a:ext>
          </a:extLst>
        </xdr:cNvPr>
        <xdr:cNvSpPr/>
      </xdr:nvSpPr>
      <xdr:spPr>
        <a:xfrm>
          <a:off x="8924925" y="3629025"/>
          <a:ext cx="3486150" cy="2095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314325</xdr:colOff>
      <xdr:row>19</xdr:row>
      <xdr:rowOff>123825</xdr:rowOff>
    </xdr:from>
    <xdr:to>
      <xdr:col>18</xdr:col>
      <xdr:colOff>533400</xdr:colOff>
      <xdr:row>21</xdr:row>
      <xdr:rowOff>9525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B280D5C-EEF6-4752-804B-BFAAC5E5554C}"/>
            </a:ext>
            <a:ext uri="{147F2762-F138-4A5C-976F-8EAC2B608ADB}">
              <a16:predDERef xmlns:a16="http://schemas.microsoft.com/office/drawing/2014/main" pred="{54326AB9-15B7-4DB6-92B5-9BCBD3DD16B0}"/>
            </a:ext>
          </a:extLst>
        </xdr:cNvPr>
        <xdr:cNvSpPr txBox="1"/>
      </xdr:nvSpPr>
      <xdr:spPr>
        <a:xfrm>
          <a:off x="10067925" y="3743325"/>
          <a:ext cx="1438275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Month By Traing Hour</a:t>
          </a:r>
        </a:p>
      </xdr:txBody>
    </xdr:sp>
    <xdr:clientData/>
  </xdr:twoCellAnchor>
  <xdr:twoCellAnchor>
    <xdr:from>
      <xdr:col>14</xdr:col>
      <xdr:colOff>533400</xdr:colOff>
      <xdr:row>21</xdr:row>
      <xdr:rowOff>142875</xdr:rowOff>
    </xdr:from>
    <xdr:to>
      <xdr:col>20</xdr:col>
      <xdr:colOff>76200</xdr:colOff>
      <xdr:row>29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072E7DA-7D9F-42AD-94C6-D2855EB9ABA1}"/>
            </a:ext>
            <a:ext uri="{147F2762-F138-4A5C-976F-8EAC2B608ADB}">
              <a16:predDERef xmlns:a16="http://schemas.microsoft.com/office/drawing/2014/main" pred="{8B280D5C-EEF6-4752-804B-BFAAC5E555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4.402438657409" createdVersion="8" refreshedVersion="8" minRefreshableVersion="3" recordCount="250" xr:uid="{C430E3EE-30CE-4F3F-8074-A0E64B9E92FD}">
  <cacheSource type="worksheet">
    <worksheetSource name="data"/>
  </cacheSource>
  <cacheFields count="18">
    <cacheField name="Employee_ID" numFmtId="0">
      <sharedItems count="250">
        <s v="EMP001"/>
        <s v="EMP002"/>
        <s v="EMP003"/>
        <s v="EMP004"/>
        <s v="EMP005"/>
        <s v="EMP006"/>
        <s v="EMP007"/>
        <s v="EMP008"/>
        <s v="EMP009"/>
        <s v="EMP010"/>
        <s v="EMP011"/>
        <s v="EMP012"/>
        <s v="EMP013"/>
        <s v="EMP014"/>
        <s v="EMP015"/>
        <s v="EMP016"/>
        <s v="EMP017"/>
        <s v="EMP018"/>
        <s v="EMP019"/>
        <s v="EMP020"/>
        <s v="EMP021"/>
        <s v="EMP022"/>
        <s v="EMP023"/>
        <s v="EMP024"/>
        <s v="EMP025"/>
        <s v="EMP026"/>
        <s v="EMP027"/>
        <s v="EMP028"/>
        <s v="EMP029"/>
        <s v="EMP030"/>
        <s v="EMP031"/>
        <s v="EMP032"/>
        <s v="EMP033"/>
        <s v="EMP034"/>
        <s v="EMP035"/>
        <s v="EMP036"/>
        <s v="EMP037"/>
        <s v="EMP038"/>
        <s v="EMP039"/>
        <s v="EMP040"/>
        <s v="EMP041"/>
        <s v="EMP042"/>
        <s v="EMP043"/>
        <s v="EMP044"/>
        <s v="EMP045"/>
        <s v="EMP046"/>
        <s v="EMP047"/>
        <s v="EMP048"/>
        <s v="EMP049"/>
        <s v="EMP050"/>
        <s v="EMP051"/>
        <s v="EMP052"/>
        <s v="EMP053"/>
        <s v="EMP054"/>
        <s v="EMP055"/>
        <s v="EMP056"/>
        <s v="EMP057"/>
        <s v="EMP058"/>
        <s v="EMP059"/>
        <s v="EMP060"/>
        <s v="EMP061"/>
        <s v="EMP062"/>
        <s v="EMP063"/>
        <s v="EMP064"/>
        <s v="EMP065"/>
        <s v="EMP066"/>
        <s v="EMP067"/>
        <s v="EMP068"/>
        <s v="EMP069"/>
        <s v="EMP070"/>
        <s v="EMP071"/>
        <s v="EMP072"/>
        <s v="EMP073"/>
        <s v="EMP074"/>
        <s v="EMP075"/>
        <s v="EMP076"/>
        <s v="EMP077"/>
        <s v="EMP078"/>
        <s v="EMP079"/>
        <s v="EMP080"/>
        <s v="EMP081"/>
        <s v="EMP082"/>
        <s v="EMP083"/>
        <s v="EMP084"/>
        <s v="EMP085"/>
        <s v="EMP086"/>
        <s v="EMP087"/>
        <s v="EMP088"/>
        <s v="EMP089"/>
        <s v="EMP090"/>
        <s v="EMP091"/>
        <s v="EMP092"/>
        <s v="EMP093"/>
        <s v="EMP094"/>
        <s v="EMP095"/>
        <s v="EMP096"/>
        <s v="EMP097"/>
        <s v="EMP098"/>
        <s v="EMP099"/>
        <s v="EMP100"/>
        <s v="EMP101"/>
        <s v="EMP102"/>
        <s v="EMP103"/>
        <s v="EMP104"/>
        <s v="EMP105"/>
        <s v="EMP106"/>
        <s v="EMP107"/>
        <s v="EMP108"/>
        <s v="EMP109"/>
        <s v="EMP110"/>
        <s v="EMP111"/>
        <s v="EMP112"/>
        <s v="EMP113"/>
        <s v="EMP114"/>
        <s v="EMP115"/>
        <s v="EMP116"/>
        <s v="EMP117"/>
        <s v="EMP118"/>
        <s v="EMP119"/>
        <s v="EMP120"/>
        <s v="EMP121"/>
        <s v="EMP122"/>
        <s v="EMP123"/>
        <s v="EMP124"/>
        <s v="EMP125"/>
        <s v="EMP126"/>
        <s v="EMP127"/>
        <s v="EMP128"/>
        <s v="EMP129"/>
        <s v="EMP130"/>
        <s v="EMP131"/>
        <s v="EMP132"/>
        <s v="EMP133"/>
        <s v="EMP134"/>
        <s v="EMP135"/>
        <s v="EMP136"/>
        <s v="EMP137"/>
        <s v="EMP138"/>
        <s v="EMP139"/>
        <s v="EMP140"/>
        <s v="EMP141"/>
        <s v="EMP142"/>
        <s v="EMP143"/>
        <s v="EMP144"/>
        <s v="EMP145"/>
        <s v="EMP146"/>
        <s v="EMP147"/>
        <s v="EMP148"/>
        <s v="EMP149"/>
        <s v="EMP150"/>
        <s v="EMP151"/>
        <s v="EMP152"/>
        <s v="EMP153"/>
        <s v="EMP154"/>
        <s v="EMP155"/>
        <s v="EMP156"/>
        <s v="EMP157"/>
        <s v="EMP158"/>
        <s v="EMP159"/>
        <s v="EMP160"/>
        <s v="EMP161"/>
        <s v="EMP162"/>
        <s v="EMP163"/>
        <s v="EMP164"/>
        <s v="EMP165"/>
        <s v="EMP166"/>
        <s v="EMP167"/>
        <s v="EMP168"/>
        <s v="EMP169"/>
        <s v="EMP170"/>
        <s v="EMP171"/>
        <s v="EMP172"/>
        <s v="EMP173"/>
        <s v="EMP174"/>
        <s v="EMP175"/>
        <s v="EMP176"/>
        <s v="EMP177"/>
        <s v="EMP178"/>
        <s v="EMP179"/>
        <s v="EMP180"/>
        <s v="EMP181"/>
        <s v="EMP182"/>
        <s v="EMP183"/>
        <s v="EMP184"/>
        <s v="EMP185"/>
        <s v="EMP186"/>
        <s v="EMP187"/>
        <s v="EMP188"/>
        <s v="EMP189"/>
        <s v="EMP190"/>
        <s v="EMP191"/>
        <s v="EMP192"/>
        <s v="EMP193"/>
        <s v="EMP194"/>
        <s v="EMP195"/>
        <s v="EMP196"/>
        <s v="EMP197"/>
        <s v="EMP198"/>
        <s v="EMP199"/>
        <s v="EMP200"/>
        <s v="EMP201"/>
        <s v="EMP202"/>
        <s v="EMP203"/>
        <s v="EMP204"/>
        <s v="EMP205"/>
        <s v="EMP206"/>
        <s v="EMP207"/>
        <s v="EMP208"/>
        <s v="EMP209"/>
        <s v="EMP210"/>
        <s v="EMP211"/>
        <s v="EMP212"/>
        <s v="EMP213"/>
        <s v="EMP214"/>
        <s v="EMP215"/>
        <s v="EMP216"/>
        <s v="EMP217"/>
        <s v="EMP218"/>
        <s v="EMP219"/>
        <s v="EMP220"/>
        <s v="EMP221"/>
        <s v="EMP222"/>
        <s v="EMP223"/>
        <s v="EMP224"/>
        <s v="EMP225"/>
        <s v="EMP226"/>
        <s v="EMP227"/>
        <s v="EMP228"/>
        <s v="EMP229"/>
        <s v="EMP230"/>
        <s v="EMP231"/>
        <s v="EMP232"/>
        <s v="EMP233"/>
        <s v="EMP234"/>
        <s v="EMP235"/>
        <s v="EMP236"/>
        <s v="EMP237"/>
        <s v="EMP238"/>
        <s v="EMP239"/>
        <s v="EMP240"/>
        <s v="EMP241"/>
        <s v="EMP242"/>
        <s v="EMP243"/>
        <s v="EMP244"/>
        <s v="EMP245"/>
        <s v="EMP246"/>
        <s v="EMP247"/>
        <s v="EMP248"/>
        <s v="EMP249"/>
        <s v="EMP250"/>
      </sharedItems>
    </cacheField>
    <cacheField name="Department" numFmtId="0">
      <sharedItems count="6">
        <s v="HR"/>
        <s v="Operations"/>
        <s v="Sales"/>
        <s v="Finance"/>
        <s v="Engineering"/>
        <s v="Marketing"/>
      </sharedItems>
    </cacheField>
    <cacheField name="Position" numFmtId="0">
      <sharedItems count="5">
        <s v="Senior"/>
        <s v="Lead"/>
        <s v="Mid-level"/>
        <s v="Junior"/>
        <s v="Manager"/>
      </sharedItems>
    </cacheField>
    <cacheField name="Education" numFmtId="0">
      <sharedItems/>
    </cacheField>
    <cacheField name="Join_Date" numFmtId="164">
      <sharedItems containsSemiMixedTypes="0" containsNonDate="0" containsDate="1" containsString="0" minDate="2020-01-01T00:00:00" maxDate="2023-12-31T00:00:00"/>
    </cacheField>
    <cacheField name="Experience_Years" numFmtId="0">
      <sharedItems containsSemiMixedTypes="0" containsString="0" containsNumber="1" minValue="1" maxValue="14.8" count="118">
        <n v="11.7"/>
        <n v="9.1"/>
        <n v="14.8"/>
        <n v="2.9"/>
        <n v="12.4"/>
        <n v="7"/>
        <n v="11.9"/>
        <n v="8.6999999999999993"/>
        <n v="7.1"/>
        <n v="3.5"/>
        <n v="10"/>
        <n v="7.9"/>
        <n v="13.2"/>
        <n v="2.5"/>
        <n v="1.1000000000000001"/>
        <n v="1.6"/>
        <n v="11"/>
        <n v="14.6"/>
        <n v="4.8"/>
        <n v="2.2000000000000002"/>
        <n v="6"/>
        <n v="2.7"/>
        <n v="13.9"/>
        <n v="10.1"/>
        <n v="10.5"/>
        <n v="7.5"/>
        <n v="8.1999999999999993"/>
        <n v="3.6"/>
        <n v="13.4"/>
        <n v="4.3"/>
        <n v="12.5"/>
        <n v="2.2999999999999998"/>
        <n v="13"/>
        <n v="7.7"/>
        <n v="2.8"/>
        <n v="1.8"/>
        <n v="12.7"/>
        <n v="6.3"/>
        <n v="11.8"/>
        <n v="6.8"/>
        <n v="2.1"/>
        <n v="2.4"/>
        <n v="10.199999999999999"/>
        <n v="9.5"/>
        <n v="5.5"/>
        <n v="1"/>
        <n v="3.9"/>
        <n v="12.1"/>
        <n v="5"/>
        <n v="5.2"/>
        <n v="10.6"/>
        <n v="14.1"/>
        <n v="13.3"/>
        <n v="9.8000000000000007"/>
        <n v="10.9"/>
        <n v="3.4"/>
        <n v="13.1"/>
        <n v="12"/>
        <n v="5.8"/>
        <n v="5.9"/>
        <n v="5.7"/>
        <n v="7.3"/>
        <n v="12.9"/>
        <n v="5.6"/>
        <n v="1.2"/>
        <n v="3"/>
        <n v="14.3"/>
        <n v="4.7"/>
        <n v="2"/>
        <n v="10.4"/>
        <n v="14.2"/>
        <n v="10.8"/>
        <n v="4.5"/>
        <n v="9.3000000000000007"/>
        <n v="4.4000000000000004"/>
        <n v="12.2"/>
        <n v="7.8"/>
        <n v="8.3000000000000007"/>
        <n v="1.3"/>
        <n v="13.7"/>
        <n v="14.7"/>
        <n v="5.3"/>
        <n v="6.6"/>
        <n v="13.8"/>
        <n v="11.4"/>
        <n v="10.7"/>
        <n v="4.0999999999999996"/>
        <n v="3.2"/>
        <n v="7.6"/>
        <n v="9.6"/>
        <n v="11.3"/>
        <n v="10.3"/>
        <n v="8.8000000000000007"/>
        <n v="9.6999999999999993"/>
        <n v="6.5"/>
        <n v="12.8"/>
        <n v="4"/>
        <n v="8.9"/>
        <n v="1.9"/>
        <n v="5.4"/>
        <n v="4.9000000000000004"/>
        <n v="5.0999999999999996"/>
        <n v="9"/>
        <n v="14.4"/>
        <n v="12.6"/>
        <n v="6.4"/>
        <n v="1.7"/>
        <n v="9.9"/>
        <n v="6.9"/>
        <n v="8.6"/>
        <n v="3.1"/>
        <n v="3.7"/>
        <n v="7.4"/>
        <n v="11.1"/>
        <n v="4.2"/>
        <n v="7.2"/>
        <n v="14.5"/>
        <n v="13.5"/>
      </sharedItems>
    </cacheField>
    <cacheField name="Annual_Salary" numFmtId="0">
      <sharedItems containsSemiMixedTypes="0" containsString="0" containsNumber="1" minValue="46255.199999999997" maxValue="226220.87"/>
    </cacheField>
    <cacheField name="Performance_Rating" numFmtId="0">
      <sharedItems containsSemiMixedTypes="0" containsString="0" containsNumber="1" containsInteger="1" minValue="1" maxValue="5"/>
    </cacheField>
    <cacheField name="Projects_Completed" numFmtId="0">
      <sharedItems containsSemiMixedTypes="0" containsString="0" containsNumber="1" containsInteger="1" minValue="0" maxValue="16"/>
    </cacheField>
    <cacheField name="Training_Hours" numFmtId="0">
      <sharedItems containsSemiMixedTypes="0" containsString="0" containsNumber="1" containsInteger="1" minValue="14" maxValue="62"/>
    </cacheField>
    <cacheField name="Sick_Leaves" numFmtId="0">
      <sharedItems containsSemiMixedTypes="0" containsString="0" containsNumber="1" containsInteger="1" minValue="0" maxValue="10"/>
    </cacheField>
    <cacheField name="Overtime_Hours" numFmtId="0">
      <sharedItems containsSemiMixedTypes="0" containsString="0" containsNumber="1" containsInteger="1" minValue="3" maxValue="207"/>
    </cacheField>
    <cacheField name="Job_Satisfaction" numFmtId="0">
      <sharedItems containsSemiMixedTypes="0" containsString="0" containsNumber="1" containsInteger="1" minValue="1" maxValue="10"/>
    </cacheField>
    <cacheField name="Work_Life_Balance" numFmtId="0">
      <sharedItems containsSemiMixedTypes="0" containsString="0" containsNumber="1" containsInteger="1" minValue="1" maxValue="10"/>
    </cacheField>
    <cacheField name="Current Year" numFmtId="0">
      <sharedItems containsSemiMixedTypes="0" containsString="0" containsNumber="1" containsInteger="1" minValue="2" maxValue="6"/>
    </cacheField>
    <cacheField name="Bounes Get" numFmtId="0">
      <sharedItems/>
    </cacheField>
    <cacheField name="Month" numFmtId="0">
      <sharedItems count="12">
        <s v="January"/>
        <s v="June"/>
        <s v="March"/>
        <s v="February"/>
        <s v="September"/>
        <s v="April"/>
        <s v="October"/>
        <s v="December"/>
        <s v="May"/>
        <s v="November"/>
        <s v="August"/>
        <s v="July"/>
      </sharedItems>
    </cacheField>
    <cacheField name="year" numFmtId="0">
      <sharedItems count="4">
        <s v="2021"/>
        <s v="2022"/>
        <s v="2023"/>
        <s v="2020"/>
      </sharedItems>
    </cacheField>
  </cacheFields>
  <extLst>
    <ext xmlns:x14="http://schemas.microsoft.com/office/spreadsheetml/2009/9/main" uri="{725AE2AE-9491-48be-B2B4-4EB974FC3084}">
      <x14:pivotCacheDefinition pivotCacheId="1357914409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  <x v="0"/>
    <s v="PhD"/>
    <d v="2021-01-28T00:00:00"/>
    <x v="0"/>
    <n v="125162.98"/>
    <n v="1"/>
    <n v="6"/>
    <n v="49"/>
    <n v="5"/>
    <n v="54"/>
    <n v="8"/>
    <n v="2"/>
    <n v="5"/>
    <s v="No Bounes"/>
    <x v="0"/>
    <x v="0"/>
  </r>
  <r>
    <x v="1"/>
    <x v="0"/>
    <x v="1"/>
    <s v="Associates"/>
    <d v="2022-06-08T00:00:00"/>
    <x v="1"/>
    <n v="131512.03"/>
    <n v="1"/>
    <n v="8"/>
    <n v="56"/>
    <n v="0"/>
    <n v="87"/>
    <n v="5"/>
    <n v="2"/>
    <n v="4"/>
    <s v="No Bounes"/>
    <x v="1"/>
    <x v="1"/>
  </r>
  <r>
    <x v="2"/>
    <x v="1"/>
    <x v="2"/>
    <s v="Bachelors"/>
    <d v="2022-06-05T00:00:00"/>
    <x v="2"/>
    <n v="112589.43"/>
    <n v="4"/>
    <n v="13"/>
    <n v="31"/>
    <n v="3"/>
    <n v="97"/>
    <n v="10"/>
    <n v="4"/>
    <n v="4"/>
    <s v="No Bounes"/>
    <x v="1"/>
    <x v="1"/>
  </r>
  <r>
    <x v="3"/>
    <x v="2"/>
    <x v="1"/>
    <s v="High School"/>
    <d v="2023-03-11T00:00:00"/>
    <x v="3"/>
    <n v="106680.41"/>
    <n v="4"/>
    <n v="14"/>
    <n v="33"/>
    <n v="4"/>
    <n v="86"/>
    <n v="6"/>
    <n v="6"/>
    <n v="3"/>
    <s v="No Bounes"/>
    <x v="2"/>
    <x v="2"/>
  </r>
  <r>
    <x v="4"/>
    <x v="0"/>
    <x v="1"/>
    <s v="PhD"/>
    <d v="2020-02-15T00:00:00"/>
    <x v="4"/>
    <n v="161174.78"/>
    <n v="4"/>
    <n v="16"/>
    <n v="61"/>
    <n v="7"/>
    <n v="111"/>
    <n v="8"/>
    <n v="7"/>
    <n v="6"/>
    <s v="Get Bounes"/>
    <x v="3"/>
    <x v="3"/>
  </r>
  <r>
    <x v="5"/>
    <x v="2"/>
    <x v="1"/>
    <s v="Bachelors"/>
    <d v="2022-03-28T00:00:00"/>
    <x v="5"/>
    <n v="135083.20000000001"/>
    <n v="4"/>
    <n v="12"/>
    <n v="54"/>
    <n v="3"/>
    <n v="135"/>
    <n v="6"/>
    <n v="7"/>
    <n v="4"/>
    <s v="No Bounes"/>
    <x v="2"/>
    <x v="1"/>
  </r>
  <r>
    <x v="6"/>
    <x v="2"/>
    <x v="2"/>
    <s v="Associates"/>
    <d v="2023-01-28T00:00:00"/>
    <x v="6"/>
    <n v="108532.54"/>
    <n v="4"/>
    <n v="6"/>
    <n v="33"/>
    <n v="6"/>
    <n v="57"/>
    <n v="4"/>
    <n v="3"/>
    <n v="3"/>
    <s v="No Bounes"/>
    <x v="0"/>
    <x v="2"/>
  </r>
  <r>
    <x v="7"/>
    <x v="0"/>
    <x v="1"/>
    <s v="Masters"/>
    <d v="2021-09-23T00:00:00"/>
    <x v="7"/>
    <n v="130185.49"/>
    <n v="3"/>
    <n v="9"/>
    <n v="31"/>
    <n v="4"/>
    <n v="16"/>
    <n v="9"/>
    <n v="5"/>
    <n v="5"/>
    <s v="No Bounes"/>
    <x v="4"/>
    <x v="0"/>
  </r>
  <r>
    <x v="8"/>
    <x v="3"/>
    <x v="3"/>
    <s v="High School"/>
    <d v="2022-04-30T00:00:00"/>
    <x v="8"/>
    <n v="65915.5"/>
    <n v="4"/>
    <n v="4"/>
    <n v="33"/>
    <n v="6"/>
    <n v="94"/>
    <n v="6"/>
    <n v="4"/>
    <n v="4"/>
    <s v="No Bounes"/>
    <x v="5"/>
    <x v="1"/>
  </r>
  <r>
    <x v="9"/>
    <x v="2"/>
    <x v="1"/>
    <s v="Associates"/>
    <d v="2021-10-09T00:00:00"/>
    <x v="9"/>
    <n v="125162.6"/>
    <n v="1"/>
    <n v="10"/>
    <n v="46"/>
    <n v="3"/>
    <n v="108"/>
    <n v="7"/>
    <n v="7"/>
    <n v="5"/>
    <s v="No Bounes"/>
    <x v="6"/>
    <x v="0"/>
  </r>
  <r>
    <x v="10"/>
    <x v="3"/>
    <x v="2"/>
    <s v="Associates"/>
    <d v="2023-09-10T00:00:00"/>
    <x v="10"/>
    <n v="105602.64"/>
    <n v="5"/>
    <n v="7"/>
    <n v="22"/>
    <n v="4"/>
    <n v="117"/>
    <n v="7"/>
    <n v="5"/>
    <n v="3"/>
    <s v="No Bounes"/>
    <x v="4"/>
    <x v="2"/>
  </r>
  <r>
    <x v="11"/>
    <x v="3"/>
    <x v="3"/>
    <s v="Bachelors"/>
    <d v="2022-12-19T00:00:00"/>
    <x v="9"/>
    <n v="57386.87"/>
    <n v="5"/>
    <n v="11"/>
    <n v="39"/>
    <n v="9"/>
    <n v="112"/>
    <n v="7"/>
    <n v="4"/>
    <n v="3"/>
    <s v="No Bounes"/>
    <x v="7"/>
    <x v="1"/>
  </r>
  <r>
    <x v="12"/>
    <x v="3"/>
    <x v="0"/>
    <s v="Bachelors"/>
    <d v="2022-05-24T00:00:00"/>
    <x v="11"/>
    <n v="107275.3"/>
    <n v="5"/>
    <n v="12"/>
    <n v="62"/>
    <n v="2"/>
    <n v="68"/>
    <n v="6"/>
    <n v="5"/>
    <n v="4"/>
    <s v="No Bounes"/>
    <x v="8"/>
    <x v="1"/>
  </r>
  <r>
    <x v="13"/>
    <x v="2"/>
    <x v="4"/>
    <s v="High School"/>
    <d v="2023-06-12T00:00:00"/>
    <x v="12"/>
    <n v="180801.22"/>
    <n v="2"/>
    <n v="15"/>
    <n v="32"/>
    <n v="5"/>
    <n v="132"/>
    <n v="1"/>
    <n v="6"/>
    <n v="3"/>
    <s v="No Bounes"/>
    <x v="1"/>
    <x v="2"/>
  </r>
  <r>
    <x v="14"/>
    <x v="2"/>
    <x v="3"/>
    <s v="PhD"/>
    <d v="2021-04-30T00:00:00"/>
    <x v="13"/>
    <n v="47746.64"/>
    <n v="1"/>
    <n v="12"/>
    <n v="57"/>
    <n v="7"/>
    <n v="132"/>
    <n v="3"/>
    <n v="9"/>
    <n v="5"/>
    <s v="No Bounes"/>
    <x v="5"/>
    <x v="0"/>
  </r>
  <r>
    <x v="15"/>
    <x v="2"/>
    <x v="0"/>
    <s v="Bachelors"/>
    <d v="2022-09-05T00:00:00"/>
    <x v="1"/>
    <n v="121098.59"/>
    <n v="5"/>
    <n v="7"/>
    <n v="47"/>
    <n v="5"/>
    <n v="60"/>
    <n v="4"/>
    <n v="2"/>
    <n v="4"/>
    <s v="No Bounes"/>
    <x v="4"/>
    <x v="1"/>
  </r>
  <r>
    <x v="16"/>
    <x v="4"/>
    <x v="0"/>
    <s v="Bachelors"/>
    <d v="2023-11-29T00:00:00"/>
    <x v="14"/>
    <n v="92346.11"/>
    <n v="1"/>
    <n v="14"/>
    <n v="48"/>
    <n v="5"/>
    <n v="93"/>
    <n v="10"/>
    <n v="8"/>
    <n v="2"/>
    <s v="No Bounes"/>
    <x v="9"/>
    <x v="2"/>
  </r>
  <r>
    <x v="17"/>
    <x v="4"/>
    <x v="0"/>
    <s v="Associates"/>
    <d v="2023-01-05T00:00:00"/>
    <x v="15"/>
    <n v="96599.7"/>
    <n v="3"/>
    <n v="6"/>
    <n v="41"/>
    <n v="5"/>
    <n v="75"/>
    <n v="5"/>
    <n v="1"/>
    <n v="3"/>
    <s v="No Bounes"/>
    <x v="0"/>
    <x v="2"/>
  </r>
  <r>
    <x v="18"/>
    <x v="3"/>
    <x v="4"/>
    <s v="Associates"/>
    <d v="2020-12-16T00:00:00"/>
    <x v="16"/>
    <n v="197829.96"/>
    <n v="2"/>
    <n v="13"/>
    <n v="29"/>
    <n v="0"/>
    <n v="131"/>
    <n v="3"/>
    <n v="1"/>
    <n v="5"/>
    <s v="No Bounes"/>
    <x v="7"/>
    <x v="3"/>
  </r>
  <r>
    <x v="19"/>
    <x v="2"/>
    <x v="2"/>
    <s v="Associates"/>
    <d v="2020-03-04T00:00:00"/>
    <x v="17"/>
    <n v="117057.45"/>
    <n v="5"/>
    <n v="8"/>
    <n v="38"/>
    <n v="3"/>
    <n v="51"/>
    <n v="5"/>
    <n v="7"/>
    <n v="6"/>
    <s v="Get Bounes"/>
    <x v="2"/>
    <x v="3"/>
  </r>
  <r>
    <x v="20"/>
    <x v="3"/>
    <x v="4"/>
    <s v="Associates"/>
    <d v="2021-11-29T00:00:00"/>
    <x v="18"/>
    <n v="135358.97"/>
    <n v="5"/>
    <n v="13"/>
    <n v="33"/>
    <n v="8"/>
    <n v="124"/>
    <n v="2"/>
    <n v="9"/>
    <n v="4"/>
    <s v="No Bounes"/>
    <x v="9"/>
    <x v="0"/>
  </r>
  <r>
    <x v="21"/>
    <x v="0"/>
    <x v="1"/>
    <s v="PhD"/>
    <d v="2021-09-03T00:00:00"/>
    <x v="19"/>
    <n v="103311.48"/>
    <n v="5"/>
    <n v="9"/>
    <n v="29"/>
    <n v="3"/>
    <n v="63"/>
    <n v="10"/>
    <n v="2"/>
    <n v="5"/>
    <s v="No Bounes"/>
    <x v="4"/>
    <x v="0"/>
  </r>
  <r>
    <x v="22"/>
    <x v="4"/>
    <x v="4"/>
    <s v="Bachelors"/>
    <d v="2023-09-03T00:00:00"/>
    <x v="20"/>
    <n v="145410.35999999999"/>
    <n v="5"/>
    <n v="16"/>
    <n v="41"/>
    <n v="7"/>
    <n v="61"/>
    <n v="1"/>
    <n v="7"/>
    <n v="3"/>
    <s v="No Bounes"/>
    <x v="4"/>
    <x v="2"/>
  </r>
  <r>
    <x v="23"/>
    <x v="0"/>
    <x v="1"/>
    <s v="High School"/>
    <d v="2020-11-29T00:00:00"/>
    <x v="21"/>
    <n v="120362.57"/>
    <n v="3"/>
    <n v="10"/>
    <n v="51"/>
    <n v="4"/>
    <n v="130"/>
    <n v="4"/>
    <n v="2"/>
    <n v="5"/>
    <s v="No Bounes"/>
    <x v="9"/>
    <x v="3"/>
  </r>
  <r>
    <x v="24"/>
    <x v="3"/>
    <x v="2"/>
    <s v="Masters"/>
    <d v="2021-10-31T00:00:00"/>
    <x v="22"/>
    <n v="111052.16"/>
    <n v="5"/>
    <n v="6"/>
    <n v="26"/>
    <n v="5"/>
    <n v="88"/>
    <n v="4"/>
    <n v="9"/>
    <n v="4"/>
    <s v="No Bounes"/>
    <x v="6"/>
    <x v="0"/>
  </r>
  <r>
    <x v="25"/>
    <x v="5"/>
    <x v="0"/>
    <s v="Masters"/>
    <d v="2021-01-13T00:00:00"/>
    <x v="23"/>
    <n v="125567.37"/>
    <n v="4"/>
    <n v="11"/>
    <n v="20"/>
    <n v="6"/>
    <n v="177"/>
    <n v="5"/>
    <n v="5"/>
    <n v="5"/>
    <s v="No Bounes"/>
    <x v="0"/>
    <x v="0"/>
  </r>
  <r>
    <x v="26"/>
    <x v="3"/>
    <x v="3"/>
    <s v="Masters"/>
    <d v="2021-05-20T00:00:00"/>
    <x v="24"/>
    <n v="69218.47"/>
    <n v="4"/>
    <n v="9"/>
    <n v="40"/>
    <n v="5"/>
    <n v="44"/>
    <n v="1"/>
    <n v="4"/>
    <n v="5"/>
    <s v="No Bounes"/>
    <x v="8"/>
    <x v="0"/>
  </r>
  <r>
    <x v="27"/>
    <x v="2"/>
    <x v="3"/>
    <s v="Associates"/>
    <d v="2020-05-27T00:00:00"/>
    <x v="25"/>
    <n v="56652.67"/>
    <n v="4"/>
    <n v="11"/>
    <n v="23"/>
    <n v="4"/>
    <n v="137"/>
    <n v="9"/>
    <n v="9"/>
    <n v="6"/>
    <s v="No Bounes"/>
    <x v="8"/>
    <x v="3"/>
  </r>
  <r>
    <x v="28"/>
    <x v="4"/>
    <x v="3"/>
    <s v="Masters"/>
    <d v="2021-08-13T00:00:00"/>
    <x v="25"/>
    <n v="62983.55"/>
    <n v="3"/>
    <n v="7"/>
    <n v="45"/>
    <n v="7"/>
    <n v="108"/>
    <n v="2"/>
    <n v="2"/>
    <n v="5"/>
    <s v="No Bounes"/>
    <x v="10"/>
    <x v="0"/>
  </r>
  <r>
    <x v="29"/>
    <x v="0"/>
    <x v="2"/>
    <s v="Masters"/>
    <d v="2020-01-09T00:00:00"/>
    <x v="26"/>
    <n v="97985.48"/>
    <n v="4"/>
    <n v="5"/>
    <n v="36"/>
    <n v="8"/>
    <n v="39"/>
    <n v="9"/>
    <n v="2"/>
    <n v="6"/>
    <s v="No Bounes"/>
    <x v="0"/>
    <x v="3"/>
  </r>
  <r>
    <x v="30"/>
    <x v="2"/>
    <x v="3"/>
    <s v="High School"/>
    <d v="2020-08-20T00:00:00"/>
    <x v="19"/>
    <n v="53020.43"/>
    <n v="1"/>
    <n v="9"/>
    <n v="34"/>
    <n v="5"/>
    <n v="122"/>
    <n v="4"/>
    <n v="10"/>
    <n v="6"/>
    <s v="No Bounes"/>
    <x v="10"/>
    <x v="3"/>
  </r>
  <r>
    <x v="31"/>
    <x v="4"/>
    <x v="3"/>
    <s v="Masters"/>
    <d v="2023-08-06T00:00:00"/>
    <x v="4"/>
    <n v="75947.78"/>
    <n v="3"/>
    <n v="14"/>
    <n v="37"/>
    <n v="6"/>
    <n v="114"/>
    <n v="7"/>
    <n v="4"/>
    <n v="3"/>
    <s v="No Bounes"/>
    <x v="10"/>
    <x v="2"/>
  </r>
  <r>
    <x v="32"/>
    <x v="1"/>
    <x v="4"/>
    <s v="Associates"/>
    <d v="2022-03-15T00:00:00"/>
    <x v="27"/>
    <n v="149394.1"/>
    <n v="1"/>
    <n v="11"/>
    <n v="34"/>
    <n v="3"/>
    <n v="66"/>
    <n v="10"/>
    <n v="10"/>
    <n v="4"/>
    <s v="No Bounes"/>
    <x v="2"/>
    <x v="1"/>
  </r>
  <r>
    <x v="33"/>
    <x v="1"/>
    <x v="3"/>
    <s v="Bachelors"/>
    <d v="2020-11-01T00:00:00"/>
    <x v="28"/>
    <n v="75246.539999999994"/>
    <n v="4"/>
    <n v="7"/>
    <n v="43"/>
    <n v="6"/>
    <n v="109"/>
    <n v="6"/>
    <n v="10"/>
    <n v="5"/>
    <s v="No Bounes"/>
    <x v="9"/>
    <x v="3"/>
  </r>
  <r>
    <x v="34"/>
    <x v="2"/>
    <x v="3"/>
    <s v="PhD"/>
    <d v="2020-10-14T00:00:00"/>
    <x v="29"/>
    <n v="51094.78"/>
    <n v="1"/>
    <n v="8"/>
    <n v="58"/>
    <n v="8"/>
    <n v="89"/>
    <n v="10"/>
    <n v="8"/>
    <n v="6"/>
    <s v="No Bounes"/>
    <x v="6"/>
    <x v="3"/>
  </r>
  <r>
    <x v="35"/>
    <x v="2"/>
    <x v="3"/>
    <s v="Masters"/>
    <d v="2020-03-25T00:00:00"/>
    <x v="28"/>
    <n v="80450.67"/>
    <n v="1"/>
    <n v="7"/>
    <n v="41"/>
    <n v="7"/>
    <n v="109"/>
    <n v="10"/>
    <n v="2"/>
    <n v="6"/>
    <s v="Get Bounes"/>
    <x v="2"/>
    <x v="3"/>
  </r>
  <r>
    <x v="36"/>
    <x v="1"/>
    <x v="1"/>
    <s v="PhD"/>
    <d v="2020-09-21T00:00:00"/>
    <x v="30"/>
    <n v="174632.62"/>
    <n v="4"/>
    <n v="11"/>
    <n v="37"/>
    <n v="5"/>
    <n v="146"/>
    <n v="3"/>
    <n v="4"/>
    <n v="6"/>
    <s v="Get Bounes"/>
    <x v="4"/>
    <x v="3"/>
  </r>
  <r>
    <x v="37"/>
    <x v="5"/>
    <x v="0"/>
    <s v="PhD"/>
    <d v="2021-11-13T00:00:00"/>
    <x v="31"/>
    <n v="87248.67"/>
    <n v="2"/>
    <n v="9"/>
    <n v="41"/>
    <n v="5"/>
    <n v="108"/>
    <n v="7"/>
    <n v="10"/>
    <n v="4"/>
    <s v="No Bounes"/>
    <x v="9"/>
    <x v="0"/>
  </r>
  <r>
    <x v="38"/>
    <x v="4"/>
    <x v="2"/>
    <s v="Masters"/>
    <d v="2022-09-29T00:00:00"/>
    <x v="32"/>
    <n v="97833.01"/>
    <n v="5"/>
    <n v="5"/>
    <n v="21"/>
    <n v="2"/>
    <n v="105"/>
    <n v="9"/>
    <n v="10"/>
    <n v="4"/>
    <s v="No Bounes"/>
    <x v="4"/>
    <x v="1"/>
  </r>
  <r>
    <x v="39"/>
    <x v="1"/>
    <x v="4"/>
    <s v="Associates"/>
    <d v="2022-11-18T00:00:00"/>
    <x v="33"/>
    <n v="153204.4"/>
    <n v="3"/>
    <n v="11"/>
    <n v="34"/>
    <n v="7"/>
    <n v="95"/>
    <n v="4"/>
    <n v="5"/>
    <n v="3"/>
    <s v="No Bounes"/>
    <x v="9"/>
    <x v="1"/>
  </r>
  <r>
    <x v="40"/>
    <x v="3"/>
    <x v="2"/>
    <s v="Bachelors"/>
    <d v="2023-02-07T00:00:00"/>
    <x v="9"/>
    <n v="71607.839999999997"/>
    <n v="1"/>
    <n v="10"/>
    <n v="38"/>
    <n v="5"/>
    <n v="121"/>
    <n v="9"/>
    <n v="9"/>
    <n v="3"/>
    <s v="No Bounes"/>
    <x v="3"/>
    <x v="2"/>
  </r>
  <r>
    <x v="41"/>
    <x v="2"/>
    <x v="2"/>
    <s v="Masters"/>
    <d v="2022-04-08T00:00:00"/>
    <x v="34"/>
    <n v="74802.210000000006"/>
    <n v="5"/>
    <n v="11"/>
    <n v="31"/>
    <n v="8"/>
    <n v="67"/>
    <n v="4"/>
    <n v="2"/>
    <n v="4"/>
    <s v="No Bounes"/>
    <x v="5"/>
    <x v="1"/>
  </r>
  <r>
    <x v="42"/>
    <x v="5"/>
    <x v="3"/>
    <s v="Bachelors"/>
    <d v="2020-05-11T00:00:00"/>
    <x v="35"/>
    <n v="51222.92"/>
    <n v="1"/>
    <n v="10"/>
    <n v="37"/>
    <n v="2"/>
    <n v="97"/>
    <n v="1"/>
    <n v="9"/>
    <n v="6"/>
    <s v="No Bounes"/>
    <x v="8"/>
    <x v="3"/>
  </r>
  <r>
    <x v="43"/>
    <x v="5"/>
    <x v="4"/>
    <s v="Masters"/>
    <d v="2022-01-23T00:00:00"/>
    <x v="36"/>
    <n v="176607.86"/>
    <n v="2"/>
    <n v="7"/>
    <n v="40"/>
    <n v="5"/>
    <n v="144"/>
    <n v="7"/>
    <n v="2"/>
    <n v="4"/>
    <s v="No Bounes"/>
    <x v="0"/>
    <x v="1"/>
  </r>
  <r>
    <x v="44"/>
    <x v="3"/>
    <x v="4"/>
    <s v="PhD"/>
    <d v="2023-09-30T00:00:00"/>
    <x v="25"/>
    <n v="165339.57"/>
    <n v="3"/>
    <n v="10"/>
    <n v="33"/>
    <n v="4"/>
    <n v="104"/>
    <n v="2"/>
    <n v="7"/>
    <n v="3"/>
    <s v="No Bounes"/>
    <x v="4"/>
    <x v="2"/>
  </r>
  <r>
    <x v="45"/>
    <x v="5"/>
    <x v="0"/>
    <s v="Masters"/>
    <d v="2023-09-11T00:00:00"/>
    <x v="37"/>
    <n v="117318.44"/>
    <n v="1"/>
    <n v="10"/>
    <n v="54"/>
    <n v="7"/>
    <n v="89"/>
    <n v="10"/>
    <n v="10"/>
    <n v="3"/>
    <s v="No Bounes"/>
    <x v="4"/>
    <x v="2"/>
  </r>
  <r>
    <x v="46"/>
    <x v="1"/>
    <x v="3"/>
    <s v="High School"/>
    <d v="2020-07-01T00:00:00"/>
    <x v="38"/>
    <n v="74139.64"/>
    <n v="5"/>
    <n v="8"/>
    <n v="14"/>
    <n v="3"/>
    <n v="70"/>
    <n v="3"/>
    <n v="1"/>
    <n v="6"/>
    <s v="Get Bounes"/>
    <x v="11"/>
    <x v="3"/>
  </r>
  <r>
    <x v="47"/>
    <x v="4"/>
    <x v="2"/>
    <s v="Bachelors"/>
    <d v="2020-11-20T00:00:00"/>
    <x v="39"/>
    <n v="85944.95"/>
    <n v="1"/>
    <n v="8"/>
    <n v="43"/>
    <n v="5"/>
    <n v="99"/>
    <n v="10"/>
    <n v="10"/>
    <n v="5"/>
    <s v="No Bounes"/>
    <x v="9"/>
    <x v="3"/>
  </r>
  <r>
    <x v="48"/>
    <x v="1"/>
    <x v="4"/>
    <s v="Bachelors"/>
    <d v="2020-06-28T00:00:00"/>
    <x v="40"/>
    <n v="138187.88"/>
    <n v="2"/>
    <n v="10"/>
    <n v="38"/>
    <n v="5"/>
    <n v="3"/>
    <n v="1"/>
    <n v="7"/>
    <n v="6"/>
    <s v="No Bounes"/>
    <x v="1"/>
    <x v="3"/>
  </r>
  <r>
    <x v="49"/>
    <x v="0"/>
    <x v="0"/>
    <s v="Associates"/>
    <d v="2021-01-23T00:00:00"/>
    <x v="41"/>
    <n v="88630.97"/>
    <n v="4"/>
    <n v="9"/>
    <n v="38"/>
    <n v="4"/>
    <n v="93"/>
    <n v="8"/>
    <n v="7"/>
    <n v="5"/>
    <s v="No Bounes"/>
    <x v="0"/>
    <x v="0"/>
  </r>
  <r>
    <x v="50"/>
    <x v="0"/>
    <x v="4"/>
    <s v="Masters"/>
    <d v="2020-03-14T00:00:00"/>
    <x v="42"/>
    <n v="165414.59"/>
    <n v="3"/>
    <n v="12"/>
    <n v="34"/>
    <n v="9"/>
    <n v="120"/>
    <n v="3"/>
    <n v="1"/>
    <n v="6"/>
    <s v="Get Bounes"/>
    <x v="2"/>
    <x v="3"/>
  </r>
  <r>
    <x v="51"/>
    <x v="3"/>
    <x v="1"/>
    <s v="Associates"/>
    <d v="2023-05-08T00:00:00"/>
    <x v="43"/>
    <n v="153811.10999999999"/>
    <n v="3"/>
    <n v="9"/>
    <n v="37"/>
    <n v="4"/>
    <n v="72"/>
    <n v="9"/>
    <n v="5"/>
    <n v="3"/>
    <s v="No Bounes"/>
    <x v="8"/>
    <x v="2"/>
  </r>
  <r>
    <x v="52"/>
    <x v="2"/>
    <x v="0"/>
    <s v="Associates"/>
    <d v="2021-10-06T00:00:00"/>
    <x v="18"/>
    <n v="112811.61"/>
    <n v="2"/>
    <n v="9"/>
    <n v="42"/>
    <n v="6"/>
    <n v="117"/>
    <n v="7"/>
    <n v="5"/>
    <n v="5"/>
    <s v="No Bounes"/>
    <x v="6"/>
    <x v="0"/>
  </r>
  <r>
    <x v="53"/>
    <x v="0"/>
    <x v="4"/>
    <s v="PhD"/>
    <d v="2020-07-06T00:00:00"/>
    <x v="17"/>
    <n v="219383.35"/>
    <n v="4"/>
    <n v="9"/>
    <n v="25"/>
    <n v="3"/>
    <n v="148"/>
    <n v="7"/>
    <n v="5"/>
    <n v="6"/>
    <s v="Get Bounes"/>
    <x v="11"/>
    <x v="3"/>
  </r>
  <r>
    <x v="54"/>
    <x v="5"/>
    <x v="0"/>
    <s v="High School"/>
    <d v="2020-08-27T00:00:00"/>
    <x v="44"/>
    <n v="98254.97"/>
    <n v="3"/>
    <n v="12"/>
    <n v="43"/>
    <n v="3"/>
    <n v="100"/>
    <n v="2"/>
    <n v="3"/>
    <n v="6"/>
    <s v="No Bounes"/>
    <x v="10"/>
    <x v="3"/>
  </r>
  <r>
    <x v="55"/>
    <x v="0"/>
    <x v="4"/>
    <s v="Masters"/>
    <d v="2021-06-27T00:00:00"/>
    <x v="45"/>
    <n v="128438.99"/>
    <n v="1"/>
    <n v="6"/>
    <n v="34"/>
    <n v="4"/>
    <n v="89"/>
    <n v="2"/>
    <n v="2"/>
    <n v="5"/>
    <s v="No Bounes"/>
    <x v="1"/>
    <x v="0"/>
  </r>
  <r>
    <x v="56"/>
    <x v="2"/>
    <x v="4"/>
    <s v="Bachelors"/>
    <d v="2023-09-09T00:00:00"/>
    <x v="46"/>
    <n v="155502.62"/>
    <n v="4"/>
    <n v="12"/>
    <n v="25"/>
    <n v="3"/>
    <n v="58"/>
    <n v="1"/>
    <n v="5"/>
    <n v="3"/>
    <s v="No Bounes"/>
    <x v="4"/>
    <x v="2"/>
  </r>
  <r>
    <x v="57"/>
    <x v="3"/>
    <x v="1"/>
    <s v="Bachelors"/>
    <d v="2022-10-01T00:00:00"/>
    <x v="47"/>
    <n v="175779.41"/>
    <n v="3"/>
    <n v="6"/>
    <n v="41"/>
    <n v="1"/>
    <n v="122"/>
    <n v="10"/>
    <n v="3"/>
    <n v="4"/>
    <s v="No Bounes"/>
    <x v="6"/>
    <x v="1"/>
  </r>
  <r>
    <x v="58"/>
    <x v="1"/>
    <x v="1"/>
    <s v="Bachelors"/>
    <d v="2020-08-23T00:00:00"/>
    <x v="48"/>
    <n v="123030.63"/>
    <n v="3"/>
    <n v="9"/>
    <n v="40"/>
    <n v="5"/>
    <n v="86"/>
    <n v="3"/>
    <n v="7"/>
    <n v="6"/>
    <s v="No Bounes"/>
    <x v="10"/>
    <x v="3"/>
  </r>
  <r>
    <x v="59"/>
    <x v="3"/>
    <x v="2"/>
    <s v="PhD"/>
    <d v="2021-01-13T00:00:00"/>
    <x v="49"/>
    <n v="80924.36"/>
    <n v="1"/>
    <n v="13"/>
    <n v="38"/>
    <n v="6"/>
    <n v="94"/>
    <n v="2"/>
    <n v="1"/>
    <n v="5"/>
    <s v="No Bounes"/>
    <x v="0"/>
    <x v="0"/>
  </r>
  <r>
    <x v="60"/>
    <x v="5"/>
    <x v="1"/>
    <s v="Masters"/>
    <d v="2021-07-12T00:00:00"/>
    <x v="50"/>
    <n v="162527.5"/>
    <n v="4"/>
    <n v="10"/>
    <n v="42"/>
    <n v="5"/>
    <n v="70"/>
    <n v="3"/>
    <n v="9"/>
    <n v="5"/>
    <s v="No Bounes"/>
    <x v="11"/>
    <x v="0"/>
  </r>
  <r>
    <x v="61"/>
    <x v="0"/>
    <x v="3"/>
    <s v="High School"/>
    <d v="2023-05-24T00:00:00"/>
    <x v="21"/>
    <n v="52382.73"/>
    <n v="2"/>
    <n v="11"/>
    <n v="36"/>
    <n v="6"/>
    <n v="35"/>
    <n v="6"/>
    <n v="9"/>
    <n v="3"/>
    <s v="No Bounes"/>
    <x v="8"/>
    <x v="2"/>
  </r>
  <r>
    <x v="62"/>
    <x v="5"/>
    <x v="0"/>
    <s v="Masters"/>
    <d v="2023-11-28T00:00:00"/>
    <x v="51"/>
    <n v="137954.54"/>
    <n v="2"/>
    <n v="5"/>
    <n v="43"/>
    <n v="8"/>
    <n v="125"/>
    <n v="5"/>
    <n v="1"/>
    <n v="2"/>
    <s v="No Bounes"/>
    <x v="9"/>
    <x v="2"/>
  </r>
  <r>
    <x v="63"/>
    <x v="4"/>
    <x v="4"/>
    <s v="Associates"/>
    <d v="2020-04-08T00:00:00"/>
    <x v="52"/>
    <n v="195979.48"/>
    <n v="1"/>
    <n v="7"/>
    <n v="23"/>
    <n v="6"/>
    <n v="97"/>
    <n v="10"/>
    <n v="1"/>
    <n v="6"/>
    <s v="Get Bounes"/>
    <x v="5"/>
    <x v="3"/>
  </r>
  <r>
    <x v="64"/>
    <x v="1"/>
    <x v="1"/>
    <s v="Masters"/>
    <d v="2023-09-11T00:00:00"/>
    <x v="47"/>
    <n v="171086.1"/>
    <n v="1"/>
    <n v="11"/>
    <n v="41"/>
    <n v="5"/>
    <n v="188"/>
    <n v="6"/>
    <n v="8"/>
    <n v="3"/>
    <s v="No Bounes"/>
    <x v="4"/>
    <x v="2"/>
  </r>
  <r>
    <x v="65"/>
    <x v="3"/>
    <x v="3"/>
    <s v="PhD"/>
    <d v="2020-11-16T00:00:00"/>
    <x v="53"/>
    <n v="60702.239999999998"/>
    <n v="4"/>
    <n v="9"/>
    <n v="38"/>
    <n v="4"/>
    <n v="82"/>
    <n v="6"/>
    <n v="6"/>
    <n v="5"/>
    <s v="No Bounes"/>
    <x v="9"/>
    <x v="3"/>
  </r>
  <r>
    <x v="66"/>
    <x v="3"/>
    <x v="1"/>
    <s v="High School"/>
    <d v="2022-01-20T00:00:00"/>
    <x v="14"/>
    <n v="101359.25"/>
    <n v="2"/>
    <n v="12"/>
    <n v="36"/>
    <n v="6"/>
    <n v="108"/>
    <n v="1"/>
    <n v="7"/>
    <n v="4"/>
    <s v="No Bounes"/>
    <x v="0"/>
    <x v="1"/>
  </r>
  <r>
    <x v="67"/>
    <x v="2"/>
    <x v="0"/>
    <s v="Bachelors"/>
    <d v="2022-08-20T00:00:00"/>
    <x v="54"/>
    <n v="126393.68"/>
    <n v="3"/>
    <n v="13"/>
    <n v="44"/>
    <n v="2"/>
    <n v="60"/>
    <n v="8"/>
    <n v="3"/>
    <n v="4"/>
    <s v="No Bounes"/>
    <x v="10"/>
    <x v="1"/>
  </r>
  <r>
    <x v="68"/>
    <x v="4"/>
    <x v="4"/>
    <s v="Bachelors"/>
    <d v="2023-06-29T00:00:00"/>
    <x v="48"/>
    <n v="163438.23000000001"/>
    <n v="2"/>
    <n v="14"/>
    <n v="33"/>
    <n v="2"/>
    <n v="79"/>
    <n v="9"/>
    <n v="5"/>
    <n v="3"/>
    <s v="No Bounes"/>
    <x v="1"/>
    <x v="2"/>
  </r>
  <r>
    <x v="69"/>
    <x v="5"/>
    <x v="1"/>
    <s v="High School"/>
    <d v="2021-01-01T00:00:00"/>
    <x v="55"/>
    <n v="116973.18"/>
    <n v="1"/>
    <n v="13"/>
    <n v="25"/>
    <n v="3"/>
    <n v="79"/>
    <n v="4"/>
    <n v="8"/>
    <n v="5"/>
    <s v="No Bounes"/>
    <x v="0"/>
    <x v="0"/>
  </r>
  <r>
    <x v="70"/>
    <x v="4"/>
    <x v="0"/>
    <s v="PhD"/>
    <d v="2022-02-08T00:00:00"/>
    <x v="56"/>
    <n v="128095.87"/>
    <n v="2"/>
    <n v="6"/>
    <n v="28"/>
    <n v="1"/>
    <n v="86"/>
    <n v="4"/>
    <n v="1"/>
    <n v="4"/>
    <s v="No Bounes"/>
    <x v="3"/>
    <x v="1"/>
  </r>
  <r>
    <x v="71"/>
    <x v="5"/>
    <x v="2"/>
    <s v="PhD"/>
    <d v="2022-04-08T00:00:00"/>
    <x v="44"/>
    <n v="88788.9"/>
    <n v="2"/>
    <n v="8"/>
    <n v="33"/>
    <n v="1"/>
    <n v="137"/>
    <n v="5"/>
    <n v="3"/>
    <n v="4"/>
    <s v="No Bounes"/>
    <x v="5"/>
    <x v="1"/>
  </r>
  <r>
    <x v="72"/>
    <x v="0"/>
    <x v="2"/>
    <s v="High School"/>
    <d v="2023-06-16T00:00:00"/>
    <x v="50"/>
    <n v="90120.81"/>
    <n v="1"/>
    <n v="6"/>
    <n v="42"/>
    <n v="2"/>
    <n v="120"/>
    <n v="1"/>
    <n v="6"/>
    <n v="3"/>
    <s v="No Bounes"/>
    <x v="1"/>
    <x v="2"/>
  </r>
  <r>
    <x v="73"/>
    <x v="3"/>
    <x v="0"/>
    <s v="Associates"/>
    <d v="2020-11-26T00:00:00"/>
    <x v="22"/>
    <n v="130809.77"/>
    <n v="1"/>
    <n v="12"/>
    <n v="31"/>
    <n v="1"/>
    <n v="120"/>
    <n v="10"/>
    <n v="6"/>
    <n v="5"/>
    <s v="No Bounes"/>
    <x v="9"/>
    <x v="3"/>
  </r>
  <r>
    <x v="74"/>
    <x v="1"/>
    <x v="4"/>
    <s v="Associates"/>
    <d v="2022-01-27T00:00:00"/>
    <x v="23"/>
    <n v="187645.18"/>
    <n v="5"/>
    <n v="15"/>
    <n v="44"/>
    <n v="5"/>
    <n v="124"/>
    <n v="3"/>
    <n v="7"/>
    <n v="4"/>
    <s v="No Bounes"/>
    <x v="0"/>
    <x v="1"/>
  </r>
  <r>
    <x v="75"/>
    <x v="5"/>
    <x v="0"/>
    <s v="Bachelors"/>
    <d v="2020-10-25T00:00:00"/>
    <x v="43"/>
    <n v="118094"/>
    <n v="2"/>
    <n v="12"/>
    <n v="31"/>
    <n v="3"/>
    <n v="118"/>
    <n v="10"/>
    <n v="7"/>
    <n v="5"/>
    <s v="No Bounes"/>
    <x v="6"/>
    <x v="3"/>
  </r>
  <r>
    <x v="76"/>
    <x v="0"/>
    <x v="4"/>
    <s v="Masters"/>
    <d v="2023-03-09T00:00:00"/>
    <x v="57"/>
    <n v="196595.45"/>
    <n v="4"/>
    <n v="9"/>
    <n v="53"/>
    <n v="3"/>
    <n v="122"/>
    <n v="7"/>
    <n v="7"/>
    <n v="3"/>
    <s v="No Bounes"/>
    <x v="2"/>
    <x v="2"/>
  </r>
  <r>
    <x v="77"/>
    <x v="3"/>
    <x v="2"/>
    <s v="PhD"/>
    <d v="2020-10-09T00:00:00"/>
    <x v="30"/>
    <n v="115324.42"/>
    <n v="5"/>
    <n v="11"/>
    <n v="38"/>
    <n v="7"/>
    <n v="120"/>
    <n v="6"/>
    <n v="1"/>
    <n v="6"/>
    <s v="Get Bounes"/>
    <x v="6"/>
    <x v="3"/>
  </r>
  <r>
    <x v="78"/>
    <x v="0"/>
    <x v="0"/>
    <s v="High School"/>
    <d v="2022-06-20T00:00:00"/>
    <x v="58"/>
    <n v="114008.9"/>
    <n v="4"/>
    <n v="6"/>
    <n v="46"/>
    <n v="7"/>
    <n v="96"/>
    <n v="9"/>
    <n v="2"/>
    <n v="4"/>
    <s v="No Bounes"/>
    <x v="1"/>
    <x v="1"/>
  </r>
  <r>
    <x v="79"/>
    <x v="1"/>
    <x v="4"/>
    <s v="PhD"/>
    <d v="2023-06-12T00:00:00"/>
    <x v="59"/>
    <n v="143235.98000000001"/>
    <n v="5"/>
    <n v="9"/>
    <n v="33"/>
    <n v="4"/>
    <n v="120"/>
    <n v="3"/>
    <n v="1"/>
    <n v="3"/>
    <s v="No Bounes"/>
    <x v="1"/>
    <x v="2"/>
  </r>
  <r>
    <x v="80"/>
    <x v="2"/>
    <x v="1"/>
    <s v="Associates"/>
    <d v="2020-11-07T00:00:00"/>
    <x v="60"/>
    <n v="122604.47"/>
    <n v="2"/>
    <n v="7"/>
    <n v="26"/>
    <n v="4"/>
    <n v="58"/>
    <n v="2"/>
    <n v="10"/>
    <n v="5"/>
    <s v="No Bounes"/>
    <x v="9"/>
    <x v="3"/>
  </r>
  <r>
    <x v="81"/>
    <x v="1"/>
    <x v="4"/>
    <s v="Associates"/>
    <d v="2020-05-16T00:00:00"/>
    <x v="61"/>
    <n v="177234.65"/>
    <n v="3"/>
    <n v="11"/>
    <n v="35"/>
    <n v="1"/>
    <n v="89"/>
    <n v="8"/>
    <n v="8"/>
    <n v="6"/>
    <s v="No Bounes"/>
    <x v="8"/>
    <x v="3"/>
  </r>
  <r>
    <x v="82"/>
    <x v="1"/>
    <x v="0"/>
    <s v="Associates"/>
    <d v="2022-03-24T00:00:00"/>
    <x v="13"/>
    <n v="93601.49"/>
    <n v="3"/>
    <n v="9"/>
    <n v="44"/>
    <n v="4"/>
    <n v="156"/>
    <n v="7"/>
    <n v="7"/>
    <n v="4"/>
    <s v="No Bounes"/>
    <x v="2"/>
    <x v="1"/>
  </r>
  <r>
    <x v="83"/>
    <x v="1"/>
    <x v="3"/>
    <s v="Bachelors"/>
    <d v="2022-10-17T00:00:00"/>
    <x v="26"/>
    <n v="60484.9"/>
    <n v="3"/>
    <n v="8"/>
    <n v="39"/>
    <n v="4"/>
    <n v="91"/>
    <n v="1"/>
    <n v="7"/>
    <n v="4"/>
    <s v="No Bounes"/>
    <x v="6"/>
    <x v="1"/>
  </r>
  <r>
    <x v="84"/>
    <x v="3"/>
    <x v="2"/>
    <s v="PhD"/>
    <d v="2021-01-31T00:00:00"/>
    <x v="45"/>
    <n v="67415.520000000004"/>
    <n v="4"/>
    <n v="10"/>
    <n v="45"/>
    <n v="7"/>
    <n v="52"/>
    <n v="6"/>
    <n v="2"/>
    <n v="5"/>
    <s v="No Bounes"/>
    <x v="0"/>
    <x v="0"/>
  </r>
  <r>
    <x v="85"/>
    <x v="3"/>
    <x v="2"/>
    <s v="PhD"/>
    <d v="2023-10-23T00:00:00"/>
    <x v="62"/>
    <n v="96714.89"/>
    <n v="2"/>
    <n v="8"/>
    <n v="35"/>
    <n v="6"/>
    <n v="89"/>
    <n v="8"/>
    <n v="10"/>
    <n v="2"/>
    <s v="No Bounes"/>
    <x v="6"/>
    <x v="2"/>
  </r>
  <r>
    <x v="86"/>
    <x v="4"/>
    <x v="2"/>
    <s v="Masters"/>
    <d v="2022-03-14T00:00:00"/>
    <x v="63"/>
    <n v="81889.789999999994"/>
    <n v="3"/>
    <n v="4"/>
    <n v="40"/>
    <n v="4"/>
    <n v="105"/>
    <n v="10"/>
    <n v="1"/>
    <n v="4"/>
    <s v="No Bounes"/>
    <x v="2"/>
    <x v="1"/>
  </r>
  <r>
    <x v="87"/>
    <x v="4"/>
    <x v="3"/>
    <s v="PhD"/>
    <d v="2021-04-25T00:00:00"/>
    <x v="12"/>
    <n v="72222.94"/>
    <n v="4"/>
    <n v="6"/>
    <n v="57"/>
    <n v="4"/>
    <n v="94"/>
    <n v="7"/>
    <n v="1"/>
    <n v="5"/>
    <s v="No Bounes"/>
    <x v="5"/>
    <x v="0"/>
  </r>
  <r>
    <x v="88"/>
    <x v="4"/>
    <x v="2"/>
    <s v="PhD"/>
    <d v="2020-04-01T00:00:00"/>
    <x v="34"/>
    <n v="71926.600000000006"/>
    <n v="2"/>
    <n v="7"/>
    <n v="30"/>
    <n v="2"/>
    <n v="88"/>
    <n v="10"/>
    <n v="7"/>
    <n v="6"/>
    <s v="No Bounes"/>
    <x v="5"/>
    <x v="3"/>
  </r>
  <r>
    <x v="89"/>
    <x v="5"/>
    <x v="1"/>
    <s v="Associates"/>
    <d v="2022-09-06T00:00:00"/>
    <x v="39"/>
    <n v="141572.60999999999"/>
    <n v="1"/>
    <n v="7"/>
    <n v="60"/>
    <n v="1"/>
    <n v="66"/>
    <n v="1"/>
    <n v="8"/>
    <n v="4"/>
    <s v="No Bounes"/>
    <x v="4"/>
    <x v="1"/>
  </r>
  <r>
    <x v="90"/>
    <x v="4"/>
    <x v="2"/>
    <s v="Associates"/>
    <d v="2023-12-13T00:00:00"/>
    <x v="25"/>
    <n v="89100.23"/>
    <n v="3"/>
    <n v="8"/>
    <n v="46"/>
    <n v="4"/>
    <n v="120"/>
    <n v="3"/>
    <n v="5"/>
    <n v="2"/>
    <s v="No Bounes"/>
    <x v="7"/>
    <x v="2"/>
  </r>
  <r>
    <x v="91"/>
    <x v="2"/>
    <x v="1"/>
    <s v="PhD"/>
    <d v="2022-06-11T00:00:00"/>
    <x v="64"/>
    <n v="96136.24"/>
    <n v="4"/>
    <n v="7"/>
    <n v="40"/>
    <n v="8"/>
    <n v="70"/>
    <n v="7"/>
    <n v="5"/>
    <n v="4"/>
    <s v="No Bounes"/>
    <x v="1"/>
    <x v="1"/>
  </r>
  <r>
    <x v="92"/>
    <x v="2"/>
    <x v="4"/>
    <s v="PhD"/>
    <d v="2022-11-11T00:00:00"/>
    <x v="65"/>
    <n v="126840.73"/>
    <n v="1"/>
    <n v="11"/>
    <n v="42"/>
    <n v="0"/>
    <n v="82"/>
    <n v="2"/>
    <n v="8"/>
    <n v="3"/>
    <s v="No Bounes"/>
    <x v="9"/>
    <x v="1"/>
  </r>
  <r>
    <x v="93"/>
    <x v="5"/>
    <x v="0"/>
    <s v="Masters"/>
    <d v="2020-02-08T00:00:00"/>
    <x v="66"/>
    <n v="140176.51"/>
    <n v="3"/>
    <n v="13"/>
    <n v="41"/>
    <n v="2"/>
    <n v="120"/>
    <n v="5"/>
    <n v="7"/>
    <n v="6"/>
    <s v="Get Bounes"/>
    <x v="3"/>
    <x v="3"/>
  </r>
  <r>
    <x v="94"/>
    <x v="0"/>
    <x v="0"/>
    <s v="Bachelors"/>
    <d v="2023-06-22T00:00:00"/>
    <x v="67"/>
    <n v="100657.21"/>
    <n v="1"/>
    <n v="8"/>
    <n v="43"/>
    <n v="5"/>
    <n v="66"/>
    <n v="6"/>
    <n v="5"/>
    <n v="3"/>
    <s v="No Bounes"/>
    <x v="1"/>
    <x v="2"/>
  </r>
  <r>
    <x v="95"/>
    <x v="2"/>
    <x v="0"/>
    <s v="Bachelors"/>
    <d v="2022-06-06T00:00:00"/>
    <x v="68"/>
    <n v="93965.05"/>
    <n v="4"/>
    <n v="12"/>
    <n v="29"/>
    <n v="2"/>
    <n v="73"/>
    <n v="5"/>
    <n v="10"/>
    <n v="4"/>
    <s v="No Bounes"/>
    <x v="1"/>
    <x v="1"/>
  </r>
  <r>
    <x v="96"/>
    <x v="0"/>
    <x v="2"/>
    <s v="Associates"/>
    <d v="2021-12-21T00:00:00"/>
    <x v="69"/>
    <n v="106281.08"/>
    <n v="5"/>
    <n v="8"/>
    <n v="41"/>
    <n v="3"/>
    <n v="122"/>
    <n v="1"/>
    <n v="4"/>
    <n v="4"/>
    <s v="No Bounes"/>
    <x v="7"/>
    <x v="0"/>
  </r>
  <r>
    <x v="97"/>
    <x v="0"/>
    <x v="4"/>
    <s v="High School"/>
    <d v="2021-10-20T00:00:00"/>
    <x v="17"/>
    <n v="206663.28"/>
    <n v="3"/>
    <n v="10"/>
    <n v="33"/>
    <n v="6"/>
    <n v="134"/>
    <n v="1"/>
    <n v="8"/>
    <n v="4"/>
    <s v="No Bounes"/>
    <x v="6"/>
    <x v="0"/>
  </r>
  <r>
    <x v="98"/>
    <x v="3"/>
    <x v="1"/>
    <s v="Associates"/>
    <d v="2021-06-09T00:00:00"/>
    <x v="55"/>
    <n v="126840.36"/>
    <n v="2"/>
    <n v="9"/>
    <n v="37"/>
    <n v="1"/>
    <n v="87"/>
    <n v="7"/>
    <n v="5"/>
    <n v="5"/>
    <s v="No Bounes"/>
    <x v="1"/>
    <x v="0"/>
  </r>
  <r>
    <x v="99"/>
    <x v="4"/>
    <x v="0"/>
    <s v="High School"/>
    <d v="2023-05-12T00:00:00"/>
    <x v="3"/>
    <n v="105504.19"/>
    <n v="2"/>
    <n v="9"/>
    <n v="42"/>
    <n v="4"/>
    <n v="107"/>
    <n v="2"/>
    <n v="1"/>
    <n v="3"/>
    <s v="No Bounes"/>
    <x v="8"/>
    <x v="2"/>
  </r>
  <r>
    <x v="100"/>
    <x v="4"/>
    <x v="0"/>
    <s v="PhD"/>
    <d v="2022-02-21T00:00:00"/>
    <x v="56"/>
    <n v="146369.15"/>
    <n v="3"/>
    <n v="14"/>
    <n v="34"/>
    <n v="4"/>
    <n v="60"/>
    <n v="5"/>
    <n v="8"/>
    <n v="4"/>
    <s v="No Bounes"/>
    <x v="3"/>
    <x v="1"/>
  </r>
  <r>
    <x v="101"/>
    <x v="0"/>
    <x v="3"/>
    <s v="Associates"/>
    <d v="2021-05-04T00:00:00"/>
    <x v="15"/>
    <n v="48923.22"/>
    <n v="1"/>
    <n v="9"/>
    <n v="49"/>
    <n v="1"/>
    <n v="80"/>
    <n v="3"/>
    <n v="3"/>
    <n v="5"/>
    <s v="No Bounes"/>
    <x v="8"/>
    <x v="0"/>
  </r>
  <r>
    <x v="102"/>
    <x v="4"/>
    <x v="4"/>
    <s v="Associates"/>
    <d v="2020-03-27T00:00:00"/>
    <x v="70"/>
    <n v="201495.89"/>
    <n v="3"/>
    <n v="10"/>
    <n v="48"/>
    <n v="5"/>
    <n v="109"/>
    <n v="5"/>
    <n v="6"/>
    <n v="6"/>
    <s v="Get Bounes"/>
    <x v="2"/>
    <x v="3"/>
  </r>
  <r>
    <x v="103"/>
    <x v="0"/>
    <x v="0"/>
    <s v="PhD"/>
    <d v="2023-08-29T00:00:00"/>
    <x v="71"/>
    <n v="125476.21"/>
    <n v="3"/>
    <n v="9"/>
    <n v="44"/>
    <n v="7"/>
    <n v="48"/>
    <n v="8"/>
    <n v="7"/>
    <n v="3"/>
    <s v="No Bounes"/>
    <x v="10"/>
    <x v="2"/>
  </r>
  <r>
    <x v="104"/>
    <x v="2"/>
    <x v="2"/>
    <s v="Associates"/>
    <d v="2020-07-02T00:00:00"/>
    <x v="72"/>
    <n v="80372.84"/>
    <n v="5"/>
    <n v="12"/>
    <n v="39"/>
    <n v="3"/>
    <n v="26"/>
    <n v="10"/>
    <n v="8"/>
    <n v="6"/>
    <s v="No Bounes"/>
    <x v="11"/>
    <x v="3"/>
  </r>
  <r>
    <x v="105"/>
    <x v="3"/>
    <x v="4"/>
    <s v="Bachelors"/>
    <d v="2023-05-29T00:00:00"/>
    <x v="0"/>
    <n v="204587.12"/>
    <n v="3"/>
    <n v="5"/>
    <n v="56"/>
    <n v="3"/>
    <n v="67"/>
    <n v="7"/>
    <n v="6"/>
    <n v="3"/>
    <s v="No Bounes"/>
    <x v="8"/>
    <x v="2"/>
  </r>
  <r>
    <x v="106"/>
    <x v="5"/>
    <x v="1"/>
    <s v="Bachelors"/>
    <d v="2020-01-28T00:00:00"/>
    <x v="73"/>
    <n v="155811.45000000001"/>
    <n v="3"/>
    <n v="8"/>
    <n v="32"/>
    <n v="5"/>
    <n v="145"/>
    <n v="5"/>
    <n v="9"/>
    <n v="6"/>
    <s v="No Bounes"/>
    <x v="0"/>
    <x v="3"/>
  </r>
  <r>
    <x v="107"/>
    <x v="0"/>
    <x v="2"/>
    <s v="Bachelors"/>
    <d v="2022-10-26T00:00:00"/>
    <x v="74"/>
    <n v="77774.3"/>
    <n v="1"/>
    <n v="8"/>
    <n v="41"/>
    <n v="2"/>
    <n v="145"/>
    <n v="1"/>
    <n v="1"/>
    <n v="3"/>
    <s v="No Bounes"/>
    <x v="6"/>
    <x v="1"/>
  </r>
  <r>
    <x v="108"/>
    <x v="3"/>
    <x v="1"/>
    <s v="Associates"/>
    <d v="2023-02-01T00:00:00"/>
    <x v="75"/>
    <n v="151059.32999999999"/>
    <n v="3"/>
    <n v="10"/>
    <n v="29"/>
    <n v="6"/>
    <n v="135"/>
    <n v="4"/>
    <n v="1"/>
    <n v="3"/>
    <s v="No Bounes"/>
    <x v="3"/>
    <x v="2"/>
  </r>
  <r>
    <x v="109"/>
    <x v="2"/>
    <x v="4"/>
    <s v="Bachelors"/>
    <d v="2023-12-27T00:00:00"/>
    <x v="49"/>
    <n v="162128.32000000001"/>
    <n v="5"/>
    <n v="10"/>
    <n v="23"/>
    <n v="8"/>
    <n v="109"/>
    <n v="9"/>
    <n v="1"/>
    <n v="2"/>
    <s v="No Bounes"/>
    <x v="7"/>
    <x v="2"/>
  </r>
  <r>
    <x v="110"/>
    <x v="0"/>
    <x v="1"/>
    <s v="Bachelors"/>
    <d v="2022-03-04T00:00:00"/>
    <x v="39"/>
    <n v="141563.64000000001"/>
    <n v="5"/>
    <n v="13"/>
    <n v="34"/>
    <n v="4"/>
    <n v="103"/>
    <n v="10"/>
    <n v="8"/>
    <n v="4"/>
    <s v="No Bounes"/>
    <x v="2"/>
    <x v="1"/>
  </r>
  <r>
    <x v="111"/>
    <x v="3"/>
    <x v="2"/>
    <s v="Bachelors"/>
    <d v="2022-06-15T00:00:00"/>
    <x v="76"/>
    <n v="86630.28"/>
    <n v="4"/>
    <n v="13"/>
    <n v="41"/>
    <n v="2"/>
    <n v="107"/>
    <n v="10"/>
    <n v="3"/>
    <n v="4"/>
    <s v="No Bounes"/>
    <x v="1"/>
    <x v="1"/>
  </r>
  <r>
    <x v="112"/>
    <x v="2"/>
    <x v="0"/>
    <s v="Masters"/>
    <d v="2020-07-09T00:00:00"/>
    <x v="77"/>
    <n v="119933.39"/>
    <n v="1"/>
    <n v="14"/>
    <n v="40"/>
    <n v="5"/>
    <n v="62"/>
    <n v="2"/>
    <n v="8"/>
    <n v="6"/>
    <s v="No Bounes"/>
    <x v="11"/>
    <x v="3"/>
  </r>
  <r>
    <x v="113"/>
    <x v="0"/>
    <x v="3"/>
    <s v="Associates"/>
    <d v="2022-06-18T00:00:00"/>
    <x v="78"/>
    <n v="51096.76"/>
    <n v="4"/>
    <n v="5"/>
    <n v="33"/>
    <n v="4"/>
    <n v="103"/>
    <n v="8"/>
    <n v="4"/>
    <n v="4"/>
    <s v="No Bounes"/>
    <x v="1"/>
    <x v="1"/>
  </r>
  <r>
    <x v="114"/>
    <x v="5"/>
    <x v="2"/>
    <s v="High School"/>
    <d v="2020-11-12T00:00:00"/>
    <x v="36"/>
    <n v="109834.52"/>
    <n v="2"/>
    <n v="10"/>
    <n v="56"/>
    <n v="5"/>
    <n v="131"/>
    <n v="10"/>
    <n v="2"/>
    <n v="5"/>
    <s v="No Bounes"/>
    <x v="9"/>
    <x v="3"/>
  </r>
  <r>
    <x v="115"/>
    <x v="5"/>
    <x v="0"/>
    <s v="Masters"/>
    <d v="2022-02-27T00:00:00"/>
    <x v="39"/>
    <n v="122576.75"/>
    <n v="3"/>
    <n v="9"/>
    <n v="54"/>
    <n v="1"/>
    <n v="82"/>
    <n v="3"/>
    <n v="9"/>
    <n v="4"/>
    <s v="No Bounes"/>
    <x v="3"/>
    <x v="1"/>
  </r>
  <r>
    <x v="116"/>
    <x v="0"/>
    <x v="2"/>
    <s v="PhD"/>
    <d v="2020-02-26T00:00:00"/>
    <x v="54"/>
    <n v="105831.4"/>
    <n v="2"/>
    <n v="12"/>
    <n v="38"/>
    <n v="6"/>
    <n v="111"/>
    <n v="5"/>
    <n v="7"/>
    <n v="6"/>
    <s v="Get Bounes"/>
    <x v="3"/>
    <x v="3"/>
  </r>
  <r>
    <x v="117"/>
    <x v="3"/>
    <x v="3"/>
    <s v="Bachelors"/>
    <d v="2020-02-17T00:00:00"/>
    <x v="79"/>
    <n v="72090.899999999994"/>
    <n v="5"/>
    <n v="12"/>
    <n v="46"/>
    <n v="6"/>
    <n v="144"/>
    <n v="4"/>
    <n v="10"/>
    <n v="6"/>
    <s v="Get Bounes"/>
    <x v="3"/>
    <x v="3"/>
  </r>
  <r>
    <x v="118"/>
    <x v="2"/>
    <x v="4"/>
    <s v="Associates"/>
    <d v="2021-12-27T00:00:00"/>
    <x v="80"/>
    <n v="226220.87"/>
    <n v="4"/>
    <n v="12"/>
    <n v="49"/>
    <n v="5"/>
    <n v="82"/>
    <n v="9"/>
    <n v="7"/>
    <n v="4"/>
    <s v="No Bounes"/>
    <x v="7"/>
    <x v="0"/>
  </r>
  <r>
    <x v="119"/>
    <x v="5"/>
    <x v="1"/>
    <s v="Bachelors"/>
    <d v="2021-11-06T00:00:00"/>
    <x v="81"/>
    <n v="137728.54"/>
    <n v="5"/>
    <n v="8"/>
    <n v="47"/>
    <n v="0"/>
    <n v="60"/>
    <n v="7"/>
    <n v="5"/>
    <n v="4"/>
    <s v="No Bounes"/>
    <x v="9"/>
    <x v="0"/>
  </r>
  <r>
    <x v="120"/>
    <x v="1"/>
    <x v="0"/>
    <s v="PhD"/>
    <d v="2021-09-15T00:00:00"/>
    <x v="75"/>
    <n v="140234.69"/>
    <n v="5"/>
    <n v="7"/>
    <n v="37"/>
    <n v="0"/>
    <n v="137"/>
    <n v="2"/>
    <n v="7"/>
    <n v="5"/>
    <s v="No Bounes"/>
    <x v="4"/>
    <x v="0"/>
  </r>
  <r>
    <x v="121"/>
    <x v="1"/>
    <x v="2"/>
    <s v="Masters"/>
    <d v="2022-04-10T00:00:00"/>
    <x v="4"/>
    <n v="112224.84"/>
    <n v="4"/>
    <n v="11"/>
    <n v="59"/>
    <n v="7"/>
    <n v="130"/>
    <n v="2"/>
    <n v="10"/>
    <n v="4"/>
    <s v="No Bounes"/>
    <x v="5"/>
    <x v="1"/>
  </r>
  <r>
    <x v="122"/>
    <x v="1"/>
    <x v="2"/>
    <s v="Associates"/>
    <d v="2023-01-21T00:00:00"/>
    <x v="67"/>
    <n v="87806.67"/>
    <n v="3"/>
    <n v="16"/>
    <n v="34"/>
    <n v="1"/>
    <n v="93"/>
    <n v="6"/>
    <n v="2"/>
    <n v="3"/>
    <s v="No Bounes"/>
    <x v="0"/>
    <x v="2"/>
  </r>
  <r>
    <x v="123"/>
    <x v="4"/>
    <x v="2"/>
    <s v="PhD"/>
    <d v="2021-08-22T00:00:00"/>
    <x v="82"/>
    <n v="93861.79"/>
    <n v="2"/>
    <n v="7"/>
    <n v="37"/>
    <n v="2"/>
    <n v="117"/>
    <n v="4"/>
    <n v="2"/>
    <n v="5"/>
    <s v="No Bounes"/>
    <x v="10"/>
    <x v="0"/>
  </r>
  <r>
    <x v="124"/>
    <x v="5"/>
    <x v="1"/>
    <s v="High School"/>
    <d v="2022-05-07T00:00:00"/>
    <x v="42"/>
    <n v="145947.51999999999"/>
    <n v="4"/>
    <n v="11"/>
    <n v="39"/>
    <n v="5"/>
    <n v="95"/>
    <n v="3"/>
    <n v="4"/>
    <n v="4"/>
    <s v="No Bounes"/>
    <x v="8"/>
    <x v="1"/>
  </r>
  <r>
    <x v="125"/>
    <x v="1"/>
    <x v="2"/>
    <s v="Bachelors"/>
    <d v="2022-01-25T00:00:00"/>
    <x v="83"/>
    <n v="99956.479999999996"/>
    <n v="3"/>
    <n v="12"/>
    <n v="40"/>
    <n v="4"/>
    <n v="127"/>
    <n v="1"/>
    <n v="6"/>
    <n v="4"/>
    <s v="No Bounes"/>
    <x v="0"/>
    <x v="1"/>
  </r>
  <r>
    <x v="126"/>
    <x v="4"/>
    <x v="0"/>
    <s v="High School"/>
    <d v="2023-10-28T00:00:00"/>
    <x v="84"/>
    <n v="136168.9"/>
    <n v="5"/>
    <n v="13"/>
    <n v="53"/>
    <n v="3"/>
    <n v="83"/>
    <n v="10"/>
    <n v="1"/>
    <n v="2"/>
    <s v="No Bounes"/>
    <x v="6"/>
    <x v="2"/>
  </r>
  <r>
    <x v="127"/>
    <x v="2"/>
    <x v="0"/>
    <s v="Associates"/>
    <d v="2020-01-01T00:00:00"/>
    <x v="85"/>
    <n v="139870.96"/>
    <n v="5"/>
    <n v="4"/>
    <n v="37"/>
    <n v="5"/>
    <n v="96"/>
    <n v="4"/>
    <n v="7"/>
    <n v="6"/>
    <s v="Get Bounes"/>
    <x v="0"/>
    <x v="3"/>
  </r>
  <r>
    <x v="128"/>
    <x v="3"/>
    <x v="4"/>
    <s v="Bachelors"/>
    <d v="2023-09-25T00:00:00"/>
    <x v="47"/>
    <n v="177983.05"/>
    <n v="5"/>
    <n v="15"/>
    <n v="35"/>
    <n v="2"/>
    <n v="117"/>
    <n v="4"/>
    <n v="5"/>
    <n v="3"/>
    <s v="No Bounes"/>
    <x v="4"/>
    <x v="2"/>
  </r>
  <r>
    <x v="129"/>
    <x v="0"/>
    <x v="4"/>
    <s v="High School"/>
    <d v="2022-04-28T00:00:00"/>
    <x v="27"/>
    <n v="155497.10999999999"/>
    <n v="1"/>
    <n v="10"/>
    <n v="45"/>
    <n v="5"/>
    <n v="107"/>
    <n v="9"/>
    <n v="7"/>
    <n v="4"/>
    <s v="No Bounes"/>
    <x v="5"/>
    <x v="1"/>
  </r>
  <r>
    <x v="130"/>
    <x v="1"/>
    <x v="4"/>
    <s v="Masters"/>
    <d v="2020-09-08T00:00:00"/>
    <x v="10"/>
    <n v="196889.85"/>
    <n v="5"/>
    <n v="3"/>
    <n v="32"/>
    <n v="3"/>
    <n v="89"/>
    <n v="10"/>
    <n v="7"/>
    <n v="6"/>
    <s v="No Bounes"/>
    <x v="4"/>
    <x v="3"/>
  </r>
  <r>
    <x v="131"/>
    <x v="3"/>
    <x v="0"/>
    <s v="Bachelors"/>
    <d v="2023-05-02T00:00:00"/>
    <x v="64"/>
    <n v="91601.96"/>
    <n v="1"/>
    <n v="8"/>
    <n v="44"/>
    <n v="6"/>
    <n v="66"/>
    <n v="3"/>
    <n v="8"/>
    <n v="3"/>
    <s v="No Bounes"/>
    <x v="8"/>
    <x v="2"/>
  </r>
  <r>
    <x v="132"/>
    <x v="5"/>
    <x v="0"/>
    <s v="Masters"/>
    <d v="2023-12-30T00:00:00"/>
    <x v="55"/>
    <n v="93365.31"/>
    <n v="4"/>
    <n v="12"/>
    <n v="45"/>
    <n v="5"/>
    <n v="57"/>
    <n v="6"/>
    <n v="3"/>
    <n v="2"/>
    <s v="No Bounes"/>
    <x v="7"/>
    <x v="2"/>
  </r>
  <r>
    <x v="133"/>
    <x v="5"/>
    <x v="1"/>
    <s v="High School"/>
    <d v="2020-08-25T00:00:00"/>
    <x v="86"/>
    <n v="125533.42"/>
    <n v="1"/>
    <n v="11"/>
    <n v="40"/>
    <n v="6"/>
    <n v="153"/>
    <n v="5"/>
    <n v="3"/>
    <n v="6"/>
    <s v="No Bounes"/>
    <x v="10"/>
    <x v="3"/>
  </r>
  <r>
    <x v="134"/>
    <x v="3"/>
    <x v="2"/>
    <s v="Associates"/>
    <d v="2023-07-19T00:00:00"/>
    <x v="87"/>
    <n v="77940.37"/>
    <n v="4"/>
    <n v="14"/>
    <n v="41"/>
    <n v="4"/>
    <n v="118"/>
    <n v="9"/>
    <n v="9"/>
    <n v="3"/>
    <s v="No Bounes"/>
    <x v="11"/>
    <x v="2"/>
  </r>
  <r>
    <x v="135"/>
    <x v="5"/>
    <x v="0"/>
    <s v="Masters"/>
    <d v="2021-03-01T00:00:00"/>
    <x v="88"/>
    <n v="116682.18"/>
    <n v="3"/>
    <n v="6"/>
    <n v="25"/>
    <n v="4"/>
    <n v="136"/>
    <n v="5"/>
    <n v="1"/>
    <n v="5"/>
    <s v="No Bounes"/>
    <x v="2"/>
    <x v="0"/>
  </r>
  <r>
    <x v="136"/>
    <x v="4"/>
    <x v="1"/>
    <s v="Associates"/>
    <d v="2021-09-20T00:00:00"/>
    <x v="89"/>
    <n v="161848.12"/>
    <n v="3"/>
    <n v="9"/>
    <n v="55"/>
    <n v="0"/>
    <n v="52"/>
    <n v="7"/>
    <n v="4"/>
    <n v="5"/>
    <s v="No Bounes"/>
    <x v="4"/>
    <x v="0"/>
  </r>
  <r>
    <x v="137"/>
    <x v="1"/>
    <x v="1"/>
    <s v="Bachelors"/>
    <d v="2020-07-27T00:00:00"/>
    <x v="40"/>
    <n v="117207.21"/>
    <n v="1"/>
    <n v="9"/>
    <n v="48"/>
    <n v="4"/>
    <n v="97"/>
    <n v="8"/>
    <n v="5"/>
    <n v="6"/>
    <s v="No Bounes"/>
    <x v="11"/>
    <x v="3"/>
  </r>
  <r>
    <x v="138"/>
    <x v="0"/>
    <x v="1"/>
    <s v="Bachelors"/>
    <d v="2021-06-10T00:00:00"/>
    <x v="90"/>
    <n v="159625.18"/>
    <n v="3"/>
    <n v="9"/>
    <n v="22"/>
    <n v="7"/>
    <n v="79"/>
    <n v="9"/>
    <n v="1"/>
    <n v="5"/>
    <s v="No Bounes"/>
    <x v="1"/>
    <x v="0"/>
  </r>
  <r>
    <x v="139"/>
    <x v="3"/>
    <x v="4"/>
    <s v="Masters"/>
    <d v="2023-06-23T00:00:00"/>
    <x v="4"/>
    <n v="203254.98"/>
    <n v="2"/>
    <n v="13"/>
    <n v="39"/>
    <n v="7"/>
    <n v="110"/>
    <n v="3"/>
    <n v="10"/>
    <n v="3"/>
    <s v="No Bounes"/>
    <x v="1"/>
    <x v="2"/>
  </r>
  <r>
    <x v="140"/>
    <x v="2"/>
    <x v="1"/>
    <s v="Bachelors"/>
    <d v="2020-05-01T00:00:00"/>
    <x v="72"/>
    <n v="134244.45000000001"/>
    <n v="5"/>
    <n v="9"/>
    <n v="42"/>
    <n v="2"/>
    <n v="100"/>
    <n v="2"/>
    <n v="6"/>
    <n v="6"/>
    <s v="No Bounes"/>
    <x v="8"/>
    <x v="3"/>
  </r>
  <r>
    <x v="141"/>
    <x v="4"/>
    <x v="4"/>
    <s v="Bachelors"/>
    <d v="2023-11-21T00:00:00"/>
    <x v="14"/>
    <n v="121228.63"/>
    <n v="4"/>
    <n v="15"/>
    <n v="53"/>
    <n v="3"/>
    <n v="115"/>
    <n v="7"/>
    <n v="7"/>
    <n v="2"/>
    <s v="No Bounes"/>
    <x v="9"/>
    <x v="2"/>
  </r>
  <r>
    <x v="142"/>
    <x v="2"/>
    <x v="2"/>
    <s v="PhD"/>
    <d v="2023-09-16T00:00:00"/>
    <x v="40"/>
    <n v="78259.070000000007"/>
    <n v="5"/>
    <n v="10"/>
    <n v="48"/>
    <n v="5"/>
    <n v="92"/>
    <n v="6"/>
    <n v="2"/>
    <n v="3"/>
    <s v="No Bounes"/>
    <x v="4"/>
    <x v="2"/>
  </r>
  <r>
    <x v="143"/>
    <x v="0"/>
    <x v="1"/>
    <s v="Bachelors"/>
    <d v="2021-05-07T00:00:00"/>
    <x v="51"/>
    <n v="179391.94"/>
    <n v="3"/>
    <n v="13"/>
    <n v="42"/>
    <n v="7"/>
    <n v="129"/>
    <n v="5"/>
    <n v="1"/>
    <n v="5"/>
    <s v="No Bounes"/>
    <x v="8"/>
    <x v="0"/>
  </r>
  <r>
    <x v="144"/>
    <x v="3"/>
    <x v="1"/>
    <s v="Associates"/>
    <d v="2022-05-23T00:00:00"/>
    <x v="91"/>
    <n v="161727.92000000001"/>
    <n v="5"/>
    <n v="9"/>
    <n v="38"/>
    <n v="8"/>
    <n v="105"/>
    <n v="9"/>
    <n v="4"/>
    <n v="4"/>
    <s v="No Bounes"/>
    <x v="8"/>
    <x v="1"/>
  </r>
  <r>
    <x v="145"/>
    <x v="3"/>
    <x v="1"/>
    <s v="PhD"/>
    <d v="2022-11-26T00:00:00"/>
    <x v="23"/>
    <n v="151421.66"/>
    <n v="4"/>
    <n v="7"/>
    <n v="27"/>
    <n v="6"/>
    <n v="104"/>
    <n v="6"/>
    <n v="2"/>
    <n v="3"/>
    <s v="No Bounes"/>
    <x v="9"/>
    <x v="1"/>
  </r>
  <r>
    <x v="146"/>
    <x v="4"/>
    <x v="0"/>
    <s v="Associates"/>
    <d v="2022-08-17T00:00:00"/>
    <x v="92"/>
    <n v="130553.45"/>
    <n v="5"/>
    <n v="7"/>
    <n v="46"/>
    <n v="5"/>
    <n v="50"/>
    <n v="5"/>
    <n v="7"/>
    <n v="4"/>
    <s v="No Bounes"/>
    <x v="10"/>
    <x v="1"/>
  </r>
  <r>
    <x v="147"/>
    <x v="5"/>
    <x v="2"/>
    <s v="Associates"/>
    <d v="2021-01-29T00:00:00"/>
    <x v="93"/>
    <n v="92090.51"/>
    <n v="2"/>
    <n v="11"/>
    <n v="53"/>
    <n v="10"/>
    <n v="101"/>
    <n v="4"/>
    <n v="6"/>
    <n v="5"/>
    <s v="No Bounes"/>
    <x v="0"/>
    <x v="0"/>
  </r>
  <r>
    <x v="148"/>
    <x v="1"/>
    <x v="1"/>
    <s v="Bachelors"/>
    <d v="2022-02-03T00:00:00"/>
    <x v="94"/>
    <n v="122775.47"/>
    <n v="5"/>
    <n v="10"/>
    <n v="56"/>
    <n v="5"/>
    <n v="108"/>
    <n v="9"/>
    <n v="5"/>
    <n v="4"/>
    <s v="No Bounes"/>
    <x v="3"/>
    <x v="1"/>
  </r>
  <r>
    <x v="149"/>
    <x v="4"/>
    <x v="1"/>
    <s v="Associates"/>
    <d v="2020-11-05T00:00:00"/>
    <x v="0"/>
    <n v="155900.66"/>
    <n v="4"/>
    <n v="8"/>
    <n v="26"/>
    <n v="6"/>
    <n v="61"/>
    <n v="6"/>
    <n v="3"/>
    <n v="5"/>
    <s v="No Bounes"/>
    <x v="9"/>
    <x v="3"/>
  </r>
  <r>
    <x v="150"/>
    <x v="5"/>
    <x v="0"/>
    <s v="PhD"/>
    <d v="2021-09-28T00:00:00"/>
    <x v="95"/>
    <n v="143874.07999999999"/>
    <n v="1"/>
    <n v="13"/>
    <n v="32"/>
    <n v="5"/>
    <n v="88"/>
    <n v="6"/>
    <n v="9"/>
    <n v="5"/>
    <s v="No Bounes"/>
    <x v="4"/>
    <x v="0"/>
  </r>
  <r>
    <x v="151"/>
    <x v="3"/>
    <x v="4"/>
    <s v="High School"/>
    <d v="2021-12-05T00:00:00"/>
    <x v="96"/>
    <n v="147877.82"/>
    <n v="2"/>
    <n v="13"/>
    <n v="43"/>
    <n v="8"/>
    <n v="67"/>
    <n v="10"/>
    <n v="9"/>
    <n v="4"/>
    <s v="No Bounes"/>
    <x v="7"/>
    <x v="0"/>
  </r>
  <r>
    <x v="152"/>
    <x v="4"/>
    <x v="3"/>
    <s v="Masters"/>
    <d v="2020-03-30T00:00:00"/>
    <x v="97"/>
    <n v="68804.09"/>
    <n v="1"/>
    <n v="11"/>
    <n v="40"/>
    <n v="5"/>
    <n v="147"/>
    <n v="4"/>
    <n v="10"/>
    <n v="6"/>
    <s v="No Bounes"/>
    <x v="2"/>
    <x v="3"/>
  </r>
  <r>
    <x v="153"/>
    <x v="1"/>
    <x v="4"/>
    <s v="High School"/>
    <d v="2020-06-26T00:00:00"/>
    <x v="29"/>
    <n v="137639.32"/>
    <n v="2"/>
    <n v="11"/>
    <n v="28"/>
    <n v="6"/>
    <n v="87"/>
    <n v="7"/>
    <n v="5"/>
    <n v="6"/>
    <s v="No Bounes"/>
    <x v="1"/>
    <x v="3"/>
  </r>
  <r>
    <x v="154"/>
    <x v="5"/>
    <x v="4"/>
    <s v="High School"/>
    <d v="2021-06-22T00:00:00"/>
    <x v="56"/>
    <n v="217792.11"/>
    <n v="1"/>
    <n v="8"/>
    <n v="50"/>
    <n v="3"/>
    <n v="88"/>
    <n v="6"/>
    <n v="1"/>
    <n v="5"/>
    <s v="No Bounes"/>
    <x v="1"/>
    <x v="0"/>
  </r>
  <r>
    <x v="155"/>
    <x v="4"/>
    <x v="1"/>
    <s v="Associates"/>
    <d v="2022-06-05T00:00:00"/>
    <x v="84"/>
    <n v="150705.01"/>
    <n v="2"/>
    <n v="10"/>
    <n v="49"/>
    <n v="6"/>
    <n v="92"/>
    <n v="8"/>
    <n v="4"/>
    <n v="4"/>
    <s v="No Bounes"/>
    <x v="1"/>
    <x v="1"/>
  </r>
  <r>
    <x v="156"/>
    <x v="4"/>
    <x v="0"/>
    <s v="Associates"/>
    <d v="2022-02-02T00:00:00"/>
    <x v="7"/>
    <n v="120598.13"/>
    <n v="3"/>
    <n v="9"/>
    <n v="28"/>
    <n v="3"/>
    <n v="80"/>
    <n v="4"/>
    <n v="6"/>
    <n v="4"/>
    <s v="No Bounes"/>
    <x v="3"/>
    <x v="1"/>
  </r>
  <r>
    <x v="157"/>
    <x v="1"/>
    <x v="2"/>
    <s v="Bachelors"/>
    <d v="2021-05-09T00:00:00"/>
    <x v="50"/>
    <n v="102869"/>
    <n v="3"/>
    <n v="9"/>
    <n v="59"/>
    <n v="3"/>
    <n v="91"/>
    <n v="6"/>
    <n v="3"/>
    <n v="5"/>
    <s v="No Bounes"/>
    <x v="8"/>
    <x v="0"/>
  </r>
  <r>
    <x v="158"/>
    <x v="0"/>
    <x v="3"/>
    <s v="Associates"/>
    <d v="2023-06-04T00:00:00"/>
    <x v="98"/>
    <n v="51906.98"/>
    <n v="5"/>
    <n v="3"/>
    <n v="46"/>
    <n v="1"/>
    <n v="72"/>
    <n v="10"/>
    <n v="3"/>
    <n v="3"/>
    <s v="No Bounes"/>
    <x v="1"/>
    <x v="2"/>
  </r>
  <r>
    <x v="159"/>
    <x v="0"/>
    <x v="0"/>
    <s v="Associates"/>
    <d v="2022-09-27T00:00:00"/>
    <x v="70"/>
    <n v="146444.79999999999"/>
    <n v="5"/>
    <n v="13"/>
    <n v="18"/>
    <n v="5"/>
    <n v="124"/>
    <n v="2"/>
    <n v="4"/>
    <n v="4"/>
    <s v="No Bounes"/>
    <x v="4"/>
    <x v="1"/>
  </r>
  <r>
    <x v="160"/>
    <x v="2"/>
    <x v="2"/>
    <s v="Bachelors"/>
    <d v="2023-03-09T00:00:00"/>
    <x v="41"/>
    <n v="77965.75"/>
    <n v="5"/>
    <n v="14"/>
    <n v="30"/>
    <n v="3"/>
    <n v="154"/>
    <n v="3"/>
    <n v="10"/>
    <n v="3"/>
    <s v="No Bounes"/>
    <x v="2"/>
    <x v="2"/>
  </r>
  <r>
    <x v="161"/>
    <x v="4"/>
    <x v="3"/>
    <s v="Associates"/>
    <d v="2020-10-17T00:00:00"/>
    <x v="7"/>
    <n v="69334.98"/>
    <n v="4"/>
    <n v="9"/>
    <n v="32"/>
    <n v="3"/>
    <n v="70"/>
    <n v="8"/>
    <n v="10"/>
    <n v="6"/>
    <s v="No Bounes"/>
    <x v="6"/>
    <x v="3"/>
  </r>
  <r>
    <x v="162"/>
    <x v="0"/>
    <x v="2"/>
    <s v="Bachelors"/>
    <d v="2022-08-20T00:00:00"/>
    <x v="99"/>
    <n v="81043.679999999993"/>
    <n v="4"/>
    <n v="8"/>
    <n v="50"/>
    <n v="6"/>
    <n v="64"/>
    <n v="2"/>
    <n v="5"/>
    <n v="4"/>
    <s v="No Bounes"/>
    <x v="10"/>
    <x v="1"/>
  </r>
  <r>
    <x v="163"/>
    <x v="3"/>
    <x v="3"/>
    <s v="Masters"/>
    <d v="2023-01-06T00:00:00"/>
    <x v="100"/>
    <n v="51773.46"/>
    <n v="2"/>
    <n v="10"/>
    <n v="35"/>
    <n v="6"/>
    <n v="95"/>
    <n v="5"/>
    <n v="3"/>
    <n v="3"/>
    <s v="No Bounes"/>
    <x v="0"/>
    <x v="2"/>
  </r>
  <r>
    <x v="164"/>
    <x v="5"/>
    <x v="2"/>
    <s v="Associates"/>
    <d v="2021-05-09T00:00:00"/>
    <x v="24"/>
    <n v="95187.55"/>
    <n v="4"/>
    <n v="11"/>
    <n v="38"/>
    <n v="0"/>
    <n v="101"/>
    <n v="8"/>
    <n v="8"/>
    <n v="5"/>
    <s v="No Bounes"/>
    <x v="8"/>
    <x v="0"/>
  </r>
  <r>
    <x v="165"/>
    <x v="1"/>
    <x v="0"/>
    <s v="Bachelors"/>
    <d v="2023-07-31T00:00:00"/>
    <x v="101"/>
    <n v="115748.67"/>
    <n v="1"/>
    <n v="6"/>
    <n v="47"/>
    <n v="3"/>
    <n v="81"/>
    <n v="7"/>
    <n v="6"/>
    <n v="3"/>
    <s v="No Bounes"/>
    <x v="11"/>
    <x v="2"/>
  </r>
  <r>
    <x v="166"/>
    <x v="0"/>
    <x v="3"/>
    <s v="Associates"/>
    <d v="2023-11-15T00:00:00"/>
    <x v="102"/>
    <n v="64655.51"/>
    <n v="2"/>
    <n v="9"/>
    <n v="45"/>
    <n v="4"/>
    <n v="149"/>
    <n v="10"/>
    <n v="5"/>
    <n v="2"/>
    <s v="No Bounes"/>
    <x v="9"/>
    <x v="2"/>
  </r>
  <r>
    <x v="167"/>
    <x v="2"/>
    <x v="1"/>
    <s v="High School"/>
    <d v="2021-07-21T00:00:00"/>
    <x v="64"/>
    <n v="114263.22"/>
    <n v="4"/>
    <n v="14"/>
    <n v="57"/>
    <n v="4"/>
    <n v="55"/>
    <n v="8"/>
    <n v="10"/>
    <n v="5"/>
    <s v="No Bounes"/>
    <x v="11"/>
    <x v="0"/>
  </r>
  <r>
    <x v="168"/>
    <x v="1"/>
    <x v="2"/>
    <s v="PhD"/>
    <d v="2023-12-17T00:00:00"/>
    <x v="89"/>
    <n v="95152.27"/>
    <n v="1"/>
    <n v="13"/>
    <n v="35"/>
    <n v="5"/>
    <n v="118"/>
    <n v="8"/>
    <n v="6"/>
    <n v="2"/>
    <s v="No Bounes"/>
    <x v="7"/>
    <x v="2"/>
  </r>
  <r>
    <x v="169"/>
    <x v="4"/>
    <x v="0"/>
    <s v="Bachelors"/>
    <d v="2023-05-04T00:00:00"/>
    <x v="78"/>
    <n v="87107.839999999997"/>
    <n v="3"/>
    <n v="5"/>
    <n v="56"/>
    <n v="6"/>
    <n v="110"/>
    <n v="5"/>
    <n v="2"/>
    <n v="3"/>
    <s v="No Bounes"/>
    <x v="8"/>
    <x v="2"/>
  </r>
  <r>
    <x v="170"/>
    <x v="3"/>
    <x v="0"/>
    <s v="Masters"/>
    <d v="2020-08-01T00:00:00"/>
    <x v="49"/>
    <n v="112079.07"/>
    <n v="3"/>
    <n v="12"/>
    <n v="45"/>
    <n v="5"/>
    <n v="90"/>
    <n v="5"/>
    <n v="5"/>
    <n v="6"/>
    <s v="No Bounes"/>
    <x v="10"/>
    <x v="3"/>
  </r>
  <r>
    <x v="171"/>
    <x v="0"/>
    <x v="2"/>
    <s v="High School"/>
    <d v="2021-12-08T00:00:00"/>
    <x v="99"/>
    <n v="76889.850000000006"/>
    <n v="5"/>
    <n v="7"/>
    <n v="42"/>
    <n v="5"/>
    <n v="132"/>
    <n v="4"/>
    <n v="8"/>
    <n v="4"/>
    <s v="No Bounes"/>
    <x v="7"/>
    <x v="0"/>
  </r>
  <r>
    <x v="172"/>
    <x v="4"/>
    <x v="2"/>
    <s v="Associates"/>
    <d v="2023-03-20T00:00:00"/>
    <x v="40"/>
    <n v="74647.600000000006"/>
    <n v="4"/>
    <n v="10"/>
    <n v="31"/>
    <n v="1"/>
    <n v="96"/>
    <n v="4"/>
    <n v="3"/>
    <n v="3"/>
    <s v="No Bounes"/>
    <x v="2"/>
    <x v="2"/>
  </r>
  <r>
    <x v="173"/>
    <x v="2"/>
    <x v="3"/>
    <s v="High School"/>
    <d v="2023-03-16T00:00:00"/>
    <x v="58"/>
    <n v="54383.39"/>
    <n v="2"/>
    <n v="9"/>
    <n v="39"/>
    <n v="1"/>
    <n v="132"/>
    <n v="9"/>
    <n v="4"/>
    <n v="3"/>
    <s v="No Bounes"/>
    <x v="2"/>
    <x v="2"/>
  </r>
  <r>
    <x v="174"/>
    <x v="0"/>
    <x v="4"/>
    <s v="Masters"/>
    <d v="2023-11-28T00:00:00"/>
    <x v="103"/>
    <n v="222849.86"/>
    <n v="1"/>
    <n v="13"/>
    <n v="31"/>
    <n v="6"/>
    <n v="128"/>
    <n v="9"/>
    <n v="1"/>
    <n v="2"/>
    <s v="No Bounes"/>
    <x v="9"/>
    <x v="2"/>
  </r>
  <r>
    <x v="175"/>
    <x v="1"/>
    <x v="1"/>
    <s v="Associates"/>
    <d v="2023-03-01T00:00:00"/>
    <x v="51"/>
    <n v="164987.96"/>
    <n v="4"/>
    <n v="10"/>
    <n v="30"/>
    <n v="8"/>
    <n v="111"/>
    <n v="3"/>
    <n v="7"/>
    <n v="3"/>
    <s v="No Bounes"/>
    <x v="2"/>
    <x v="2"/>
  </r>
  <r>
    <x v="176"/>
    <x v="2"/>
    <x v="4"/>
    <s v="Bachelors"/>
    <d v="2021-10-04T00:00:00"/>
    <x v="104"/>
    <n v="185599.81"/>
    <n v="1"/>
    <n v="9"/>
    <n v="47"/>
    <n v="8"/>
    <n v="85"/>
    <n v="9"/>
    <n v="5"/>
    <n v="5"/>
    <s v="No Bounes"/>
    <x v="6"/>
    <x v="0"/>
  </r>
  <r>
    <x v="177"/>
    <x v="1"/>
    <x v="2"/>
    <s v="Bachelors"/>
    <d v="2023-10-24T00:00:00"/>
    <x v="41"/>
    <n v="74889.63"/>
    <n v="4"/>
    <n v="12"/>
    <n v="59"/>
    <n v="2"/>
    <n v="83"/>
    <n v="10"/>
    <n v="3"/>
    <n v="2"/>
    <s v="No Bounes"/>
    <x v="6"/>
    <x v="2"/>
  </r>
  <r>
    <x v="178"/>
    <x v="1"/>
    <x v="4"/>
    <s v="PhD"/>
    <d v="2022-10-31T00:00:00"/>
    <x v="51"/>
    <n v="198644.22"/>
    <n v="5"/>
    <n v="8"/>
    <n v="38"/>
    <n v="4"/>
    <n v="109"/>
    <n v="5"/>
    <n v="2"/>
    <n v="3"/>
    <s v="No Bounes"/>
    <x v="6"/>
    <x v="1"/>
  </r>
  <r>
    <x v="179"/>
    <x v="1"/>
    <x v="3"/>
    <s v="PhD"/>
    <d v="2022-10-31T00:00:00"/>
    <x v="85"/>
    <n v="75393.16"/>
    <n v="4"/>
    <n v="7"/>
    <n v="33"/>
    <n v="5"/>
    <n v="104"/>
    <n v="1"/>
    <n v="5"/>
    <n v="3"/>
    <s v="No Bounes"/>
    <x v="6"/>
    <x v="1"/>
  </r>
  <r>
    <x v="180"/>
    <x v="3"/>
    <x v="4"/>
    <s v="Bachelors"/>
    <d v="2021-11-30T00:00:00"/>
    <x v="31"/>
    <n v="142143.01999999999"/>
    <n v="2"/>
    <n v="12"/>
    <n v="44"/>
    <n v="6"/>
    <n v="65"/>
    <n v="1"/>
    <n v="9"/>
    <n v="4"/>
    <s v="No Bounes"/>
    <x v="9"/>
    <x v="0"/>
  </r>
  <r>
    <x v="181"/>
    <x v="0"/>
    <x v="1"/>
    <s v="PhD"/>
    <d v="2023-05-31T00:00:00"/>
    <x v="105"/>
    <n v="121206.81"/>
    <n v="1"/>
    <n v="8"/>
    <n v="58"/>
    <n v="5"/>
    <n v="122"/>
    <n v="7"/>
    <n v="5"/>
    <n v="3"/>
    <s v="No Bounes"/>
    <x v="8"/>
    <x v="2"/>
  </r>
  <r>
    <x v="182"/>
    <x v="0"/>
    <x v="4"/>
    <s v="Masters"/>
    <d v="2022-07-13T00:00:00"/>
    <x v="35"/>
    <n v="121204.43"/>
    <n v="1"/>
    <n v="10"/>
    <n v="44"/>
    <n v="4"/>
    <n v="207"/>
    <n v="8"/>
    <n v="4"/>
    <n v="4"/>
    <s v="No Bounes"/>
    <x v="11"/>
    <x v="1"/>
  </r>
  <r>
    <x v="183"/>
    <x v="4"/>
    <x v="1"/>
    <s v="Masters"/>
    <d v="2020-08-05T00:00:00"/>
    <x v="12"/>
    <n v="153066.10999999999"/>
    <n v="4"/>
    <n v="8"/>
    <n v="39"/>
    <n v="0"/>
    <n v="133"/>
    <n v="4"/>
    <n v="1"/>
    <n v="6"/>
    <s v="Get Bounes"/>
    <x v="10"/>
    <x v="3"/>
  </r>
  <r>
    <x v="184"/>
    <x v="2"/>
    <x v="4"/>
    <s v="Bachelors"/>
    <d v="2023-02-25T00:00:00"/>
    <x v="67"/>
    <n v="153117.10999999999"/>
    <n v="1"/>
    <n v="8"/>
    <n v="39"/>
    <n v="3"/>
    <n v="95"/>
    <n v="10"/>
    <n v="2"/>
    <n v="3"/>
    <s v="No Bounes"/>
    <x v="3"/>
    <x v="2"/>
  </r>
  <r>
    <x v="185"/>
    <x v="2"/>
    <x v="1"/>
    <s v="Associates"/>
    <d v="2020-02-08T00:00:00"/>
    <x v="81"/>
    <n v="118986.2"/>
    <n v="3"/>
    <n v="9"/>
    <n v="39"/>
    <n v="4"/>
    <n v="95"/>
    <n v="6"/>
    <n v="1"/>
    <n v="6"/>
    <s v="No Bounes"/>
    <x v="3"/>
    <x v="3"/>
  </r>
  <r>
    <x v="186"/>
    <x v="3"/>
    <x v="2"/>
    <s v="Bachelors"/>
    <d v="2021-05-26T00:00:00"/>
    <x v="21"/>
    <n v="67286.740000000005"/>
    <n v="5"/>
    <n v="9"/>
    <n v="53"/>
    <n v="6"/>
    <n v="126"/>
    <n v="6"/>
    <n v="1"/>
    <n v="5"/>
    <s v="No Bounes"/>
    <x v="8"/>
    <x v="0"/>
  </r>
  <r>
    <x v="187"/>
    <x v="1"/>
    <x v="3"/>
    <s v="Bachelors"/>
    <d v="2023-02-14T00:00:00"/>
    <x v="2"/>
    <n v="84845.62"/>
    <n v="2"/>
    <n v="7"/>
    <n v="52"/>
    <n v="7"/>
    <n v="83"/>
    <n v="9"/>
    <n v="3"/>
    <n v="3"/>
    <s v="No Bounes"/>
    <x v="3"/>
    <x v="2"/>
  </r>
  <r>
    <x v="188"/>
    <x v="2"/>
    <x v="2"/>
    <s v="High School"/>
    <d v="2020-10-04T00:00:00"/>
    <x v="75"/>
    <n v="108372.51"/>
    <n v="5"/>
    <n v="14"/>
    <n v="33"/>
    <n v="1"/>
    <n v="133"/>
    <n v="8"/>
    <n v="3"/>
    <n v="6"/>
    <s v="Get Bounes"/>
    <x v="6"/>
    <x v="3"/>
  </r>
  <r>
    <x v="189"/>
    <x v="3"/>
    <x v="3"/>
    <s v="Associates"/>
    <d v="2021-12-09T00:00:00"/>
    <x v="106"/>
    <n v="46255.199999999997"/>
    <n v="1"/>
    <n v="9"/>
    <n v="49"/>
    <n v="3"/>
    <n v="62"/>
    <n v="2"/>
    <n v="7"/>
    <n v="4"/>
    <s v="No Bounes"/>
    <x v="7"/>
    <x v="0"/>
  </r>
  <r>
    <x v="190"/>
    <x v="1"/>
    <x v="4"/>
    <s v="PhD"/>
    <d v="2022-09-24T00:00:00"/>
    <x v="88"/>
    <n v="162235.13"/>
    <n v="1"/>
    <n v="13"/>
    <n v="25"/>
    <n v="1"/>
    <n v="42"/>
    <n v="3"/>
    <n v="3"/>
    <n v="4"/>
    <s v="No Bounes"/>
    <x v="4"/>
    <x v="1"/>
  </r>
  <r>
    <x v="191"/>
    <x v="5"/>
    <x v="0"/>
    <s v="Bachelors"/>
    <d v="2023-07-19T00:00:00"/>
    <x v="69"/>
    <n v="123198.91"/>
    <n v="3"/>
    <n v="1"/>
    <n v="29"/>
    <n v="0"/>
    <n v="98"/>
    <n v="8"/>
    <n v="5"/>
    <n v="3"/>
    <s v="No Bounes"/>
    <x v="11"/>
    <x v="2"/>
  </r>
  <r>
    <x v="192"/>
    <x v="1"/>
    <x v="3"/>
    <s v="PhD"/>
    <d v="2022-08-24T00:00:00"/>
    <x v="107"/>
    <n v="69706.850000000006"/>
    <n v="5"/>
    <n v="3"/>
    <n v="29"/>
    <n v="9"/>
    <n v="110"/>
    <n v="9"/>
    <n v="2"/>
    <n v="4"/>
    <s v="No Bounes"/>
    <x v="10"/>
    <x v="1"/>
  </r>
  <r>
    <x v="193"/>
    <x v="3"/>
    <x v="4"/>
    <s v="High School"/>
    <d v="2023-10-05T00:00:00"/>
    <x v="22"/>
    <n v="203373.73"/>
    <n v="4"/>
    <n v="10"/>
    <n v="23"/>
    <n v="4"/>
    <n v="101"/>
    <n v="3"/>
    <n v="4"/>
    <n v="3"/>
    <s v="No Bounes"/>
    <x v="6"/>
    <x v="2"/>
  </r>
  <r>
    <x v="194"/>
    <x v="4"/>
    <x v="1"/>
    <s v="High School"/>
    <d v="2021-07-29T00:00:00"/>
    <x v="96"/>
    <n v="122685.26"/>
    <n v="5"/>
    <n v="5"/>
    <n v="41"/>
    <n v="7"/>
    <n v="89"/>
    <n v="3"/>
    <n v="4"/>
    <n v="5"/>
    <s v="No Bounes"/>
    <x v="11"/>
    <x v="0"/>
  </r>
  <r>
    <x v="195"/>
    <x v="0"/>
    <x v="0"/>
    <s v="Masters"/>
    <d v="2020-11-25T00:00:00"/>
    <x v="108"/>
    <n v="103916.63"/>
    <n v="5"/>
    <n v="9"/>
    <n v="19"/>
    <n v="2"/>
    <n v="131"/>
    <n v="3"/>
    <n v="4"/>
    <n v="5"/>
    <s v="No Bounes"/>
    <x v="9"/>
    <x v="3"/>
  </r>
  <r>
    <x v="196"/>
    <x v="0"/>
    <x v="4"/>
    <s v="PhD"/>
    <d v="2020-04-09T00:00:00"/>
    <x v="7"/>
    <n v="188939.82"/>
    <n v="5"/>
    <n v="8"/>
    <n v="30"/>
    <n v="3"/>
    <n v="98"/>
    <n v="6"/>
    <n v="10"/>
    <n v="6"/>
    <s v="No Bounes"/>
    <x v="5"/>
    <x v="3"/>
  </r>
  <r>
    <x v="197"/>
    <x v="4"/>
    <x v="2"/>
    <s v="PhD"/>
    <d v="2021-05-20T00:00:00"/>
    <x v="88"/>
    <n v="88304.62"/>
    <n v="3"/>
    <n v="6"/>
    <n v="41"/>
    <n v="2"/>
    <n v="123"/>
    <n v="4"/>
    <n v="2"/>
    <n v="5"/>
    <s v="No Bounes"/>
    <x v="8"/>
    <x v="0"/>
  </r>
  <r>
    <x v="198"/>
    <x v="0"/>
    <x v="4"/>
    <s v="High School"/>
    <d v="2020-03-16T00:00:00"/>
    <x v="47"/>
    <n v="199694.42"/>
    <n v="3"/>
    <n v="6"/>
    <n v="53"/>
    <n v="4"/>
    <n v="74"/>
    <n v="5"/>
    <n v="9"/>
    <n v="6"/>
    <s v="Get Bounes"/>
    <x v="2"/>
    <x v="3"/>
  </r>
  <r>
    <x v="199"/>
    <x v="1"/>
    <x v="4"/>
    <s v="PhD"/>
    <d v="2023-11-08T00:00:00"/>
    <x v="109"/>
    <n v="155472.88"/>
    <n v="3"/>
    <n v="12"/>
    <n v="26"/>
    <n v="3"/>
    <n v="99"/>
    <n v="6"/>
    <n v="3"/>
    <n v="2"/>
    <s v="No Bounes"/>
    <x v="9"/>
    <x v="2"/>
  </r>
  <r>
    <x v="200"/>
    <x v="3"/>
    <x v="3"/>
    <s v="PhD"/>
    <d v="2022-11-14T00:00:00"/>
    <x v="110"/>
    <n v="52628.480000000003"/>
    <n v="1"/>
    <n v="9"/>
    <n v="19"/>
    <n v="3"/>
    <n v="105"/>
    <n v="9"/>
    <n v="9"/>
    <n v="3"/>
    <s v="No Bounes"/>
    <x v="9"/>
    <x v="1"/>
  </r>
  <r>
    <x v="201"/>
    <x v="0"/>
    <x v="4"/>
    <s v="Associates"/>
    <d v="2021-01-22T00:00:00"/>
    <x v="48"/>
    <n v="156874.57"/>
    <n v="2"/>
    <n v="6"/>
    <n v="52"/>
    <n v="5"/>
    <n v="84"/>
    <n v="3"/>
    <n v="8"/>
    <n v="5"/>
    <s v="No Bounes"/>
    <x v="0"/>
    <x v="0"/>
  </r>
  <r>
    <x v="202"/>
    <x v="4"/>
    <x v="0"/>
    <s v="Bachelors"/>
    <d v="2021-06-17T00:00:00"/>
    <x v="3"/>
    <n v="105248.46"/>
    <n v="1"/>
    <n v="9"/>
    <n v="58"/>
    <n v="6"/>
    <n v="111"/>
    <n v="10"/>
    <n v="5"/>
    <n v="5"/>
    <s v="No Bounes"/>
    <x v="1"/>
    <x v="0"/>
  </r>
  <r>
    <x v="203"/>
    <x v="1"/>
    <x v="0"/>
    <s v="PhD"/>
    <d v="2022-11-05T00:00:00"/>
    <x v="15"/>
    <n v="97847.49"/>
    <n v="4"/>
    <n v="5"/>
    <n v="56"/>
    <n v="7"/>
    <n v="95"/>
    <n v="2"/>
    <n v="2"/>
    <n v="3"/>
    <s v="No Bounes"/>
    <x v="9"/>
    <x v="1"/>
  </r>
  <r>
    <x v="204"/>
    <x v="0"/>
    <x v="3"/>
    <s v="High School"/>
    <d v="2021-12-14T00:00:00"/>
    <x v="89"/>
    <n v="72523.53"/>
    <n v="2"/>
    <n v="8"/>
    <n v="38"/>
    <n v="2"/>
    <n v="85"/>
    <n v="10"/>
    <n v="3"/>
    <n v="4"/>
    <s v="No Bounes"/>
    <x v="7"/>
    <x v="0"/>
  </r>
  <r>
    <x v="205"/>
    <x v="3"/>
    <x v="4"/>
    <s v="High School"/>
    <d v="2020-11-14T00:00:00"/>
    <x v="69"/>
    <n v="183326.05"/>
    <n v="1"/>
    <n v="12"/>
    <n v="21"/>
    <n v="4"/>
    <n v="103"/>
    <n v="8"/>
    <n v="1"/>
    <n v="5"/>
    <s v="No Bounes"/>
    <x v="9"/>
    <x v="3"/>
  </r>
  <r>
    <x v="206"/>
    <x v="2"/>
    <x v="3"/>
    <s v="Associates"/>
    <d v="2021-08-07T00:00:00"/>
    <x v="15"/>
    <n v="52430.85"/>
    <n v="3"/>
    <n v="10"/>
    <n v="28"/>
    <n v="2"/>
    <n v="132"/>
    <n v="6"/>
    <n v="3"/>
    <n v="5"/>
    <s v="No Bounes"/>
    <x v="10"/>
    <x v="0"/>
  </r>
  <r>
    <x v="207"/>
    <x v="1"/>
    <x v="3"/>
    <s v="Bachelors"/>
    <d v="2023-01-02T00:00:00"/>
    <x v="91"/>
    <n v="69807.289999999994"/>
    <n v="1"/>
    <n v="6"/>
    <n v="50"/>
    <n v="4"/>
    <n v="132"/>
    <n v="8"/>
    <n v="4"/>
    <n v="3"/>
    <s v="No Bounes"/>
    <x v="0"/>
    <x v="2"/>
  </r>
  <r>
    <x v="208"/>
    <x v="4"/>
    <x v="4"/>
    <s v="High School"/>
    <d v="2021-06-28T00:00:00"/>
    <x v="38"/>
    <n v="187936.02"/>
    <n v="3"/>
    <n v="8"/>
    <n v="28"/>
    <n v="6"/>
    <n v="99"/>
    <n v="9"/>
    <n v="3"/>
    <n v="5"/>
    <s v="No Bounes"/>
    <x v="1"/>
    <x v="0"/>
  </r>
  <r>
    <x v="209"/>
    <x v="1"/>
    <x v="2"/>
    <s v="PhD"/>
    <d v="2021-03-11T00:00:00"/>
    <x v="83"/>
    <n v="105803.59"/>
    <n v="2"/>
    <n v="14"/>
    <n v="48"/>
    <n v="4"/>
    <n v="86"/>
    <n v="5"/>
    <n v="9"/>
    <n v="5"/>
    <s v="No Bounes"/>
    <x v="2"/>
    <x v="0"/>
  </r>
  <r>
    <x v="210"/>
    <x v="2"/>
    <x v="0"/>
    <s v="Bachelors"/>
    <d v="2022-05-19T00:00:00"/>
    <x v="111"/>
    <n v="97168.78"/>
    <n v="5"/>
    <n v="10"/>
    <n v="41"/>
    <n v="3"/>
    <n v="125"/>
    <n v="1"/>
    <n v="7"/>
    <n v="4"/>
    <s v="No Bounes"/>
    <x v="8"/>
    <x v="1"/>
  </r>
  <r>
    <x v="211"/>
    <x v="3"/>
    <x v="0"/>
    <s v="High School"/>
    <d v="2021-10-01T00:00:00"/>
    <x v="112"/>
    <n v="107176.45"/>
    <n v="5"/>
    <n v="8"/>
    <n v="35"/>
    <n v="3"/>
    <n v="106"/>
    <n v="3"/>
    <n v="8"/>
    <n v="5"/>
    <s v="No Bounes"/>
    <x v="6"/>
    <x v="0"/>
  </r>
  <r>
    <x v="212"/>
    <x v="2"/>
    <x v="2"/>
    <s v="PhD"/>
    <d v="2020-11-20T00:00:00"/>
    <x v="29"/>
    <n v="86033.919999999998"/>
    <n v="3"/>
    <n v="7"/>
    <n v="41"/>
    <n v="10"/>
    <n v="98"/>
    <n v="4"/>
    <n v="7"/>
    <n v="5"/>
    <s v="No Bounes"/>
    <x v="9"/>
    <x v="3"/>
  </r>
  <r>
    <x v="213"/>
    <x v="1"/>
    <x v="4"/>
    <s v="Bachelors"/>
    <d v="2023-11-08T00:00:00"/>
    <x v="79"/>
    <n v="222391.17"/>
    <n v="1"/>
    <n v="8"/>
    <n v="23"/>
    <n v="5"/>
    <n v="66"/>
    <n v="8"/>
    <n v="2"/>
    <n v="2"/>
    <s v="No Bounes"/>
    <x v="9"/>
    <x v="2"/>
  </r>
  <r>
    <x v="214"/>
    <x v="5"/>
    <x v="4"/>
    <s v="Associates"/>
    <d v="2020-04-12T00:00:00"/>
    <x v="113"/>
    <n v="185114.15"/>
    <n v="3"/>
    <n v="8"/>
    <n v="41"/>
    <n v="1"/>
    <n v="104"/>
    <n v="4"/>
    <n v="2"/>
    <n v="6"/>
    <s v="Get Bounes"/>
    <x v="5"/>
    <x v="3"/>
  </r>
  <r>
    <x v="215"/>
    <x v="3"/>
    <x v="4"/>
    <s v="Associates"/>
    <d v="2021-01-28T00:00:00"/>
    <x v="88"/>
    <n v="175662.1"/>
    <n v="3"/>
    <n v="10"/>
    <n v="27"/>
    <n v="4"/>
    <n v="45"/>
    <n v="5"/>
    <n v="8"/>
    <n v="5"/>
    <s v="No Bounes"/>
    <x v="0"/>
    <x v="0"/>
  </r>
  <r>
    <x v="216"/>
    <x v="4"/>
    <x v="1"/>
    <s v="Associates"/>
    <d v="2020-12-03T00:00:00"/>
    <x v="107"/>
    <n v="149394.79"/>
    <n v="5"/>
    <n v="14"/>
    <n v="43"/>
    <n v="4"/>
    <n v="95"/>
    <n v="9"/>
    <n v="10"/>
    <n v="5"/>
    <s v="No Bounes"/>
    <x v="7"/>
    <x v="3"/>
  </r>
  <r>
    <x v="217"/>
    <x v="1"/>
    <x v="1"/>
    <s v="High School"/>
    <d v="2020-04-09T00:00:00"/>
    <x v="5"/>
    <n v="136232.99"/>
    <n v="1"/>
    <n v="13"/>
    <n v="39"/>
    <n v="5"/>
    <n v="145"/>
    <n v="8"/>
    <n v="7"/>
    <n v="6"/>
    <s v="No Bounes"/>
    <x v="5"/>
    <x v="3"/>
  </r>
  <r>
    <x v="218"/>
    <x v="5"/>
    <x v="4"/>
    <s v="Masters"/>
    <d v="2020-04-17T00:00:00"/>
    <x v="81"/>
    <n v="147686.39000000001"/>
    <n v="4"/>
    <n v="8"/>
    <n v="29"/>
    <n v="3"/>
    <n v="142"/>
    <n v="6"/>
    <n v="6"/>
    <n v="6"/>
    <s v="No Bounes"/>
    <x v="5"/>
    <x v="3"/>
  </r>
  <r>
    <x v="219"/>
    <x v="3"/>
    <x v="0"/>
    <s v="High School"/>
    <d v="2021-09-13T00:00:00"/>
    <x v="49"/>
    <n v="102405.03"/>
    <n v="5"/>
    <n v="10"/>
    <n v="34"/>
    <n v="6"/>
    <n v="129"/>
    <n v="3"/>
    <n v="2"/>
    <n v="5"/>
    <s v="No Bounes"/>
    <x v="4"/>
    <x v="0"/>
  </r>
  <r>
    <x v="220"/>
    <x v="4"/>
    <x v="4"/>
    <s v="Bachelors"/>
    <d v="2022-09-23T00:00:00"/>
    <x v="86"/>
    <n v="153852.43"/>
    <n v="3"/>
    <n v="8"/>
    <n v="30"/>
    <n v="1"/>
    <n v="46"/>
    <n v="4"/>
    <n v="7"/>
    <n v="4"/>
    <s v="No Bounes"/>
    <x v="4"/>
    <x v="1"/>
  </r>
  <r>
    <x v="221"/>
    <x v="5"/>
    <x v="2"/>
    <s v="High School"/>
    <d v="2022-11-05T00:00:00"/>
    <x v="13"/>
    <n v="68365.58"/>
    <n v="3"/>
    <n v="9"/>
    <n v="31"/>
    <n v="8"/>
    <n v="101"/>
    <n v="8"/>
    <n v="6"/>
    <n v="3"/>
    <s v="No Bounes"/>
    <x v="9"/>
    <x v="1"/>
  </r>
  <r>
    <x v="222"/>
    <x v="5"/>
    <x v="1"/>
    <s v="High School"/>
    <d v="2021-10-30T00:00:00"/>
    <x v="105"/>
    <n v="130134.85"/>
    <n v="5"/>
    <n v="4"/>
    <n v="54"/>
    <n v="5"/>
    <n v="121"/>
    <n v="7"/>
    <n v="3"/>
    <n v="4"/>
    <s v="No Bounes"/>
    <x v="6"/>
    <x v="0"/>
  </r>
  <r>
    <x v="223"/>
    <x v="4"/>
    <x v="1"/>
    <s v="Bachelors"/>
    <d v="2022-12-25T00:00:00"/>
    <x v="67"/>
    <n v="122938.36"/>
    <n v="2"/>
    <n v="12"/>
    <n v="42"/>
    <n v="6"/>
    <n v="107"/>
    <n v="1"/>
    <n v="10"/>
    <n v="3"/>
    <s v="No Bounes"/>
    <x v="7"/>
    <x v="1"/>
  </r>
  <r>
    <x v="224"/>
    <x v="5"/>
    <x v="4"/>
    <s v="Masters"/>
    <d v="2021-10-16T00:00:00"/>
    <x v="37"/>
    <n v="150035.35"/>
    <n v="2"/>
    <n v="6"/>
    <n v="43"/>
    <n v="7"/>
    <n v="93"/>
    <n v="5"/>
    <n v="4"/>
    <n v="5"/>
    <s v="No Bounes"/>
    <x v="6"/>
    <x v="0"/>
  </r>
  <r>
    <x v="225"/>
    <x v="5"/>
    <x v="0"/>
    <s v="High School"/>
    <d v="2020-06-11T00:00:00"/>
    <x v="52"/>
    <n v="154976.26"/>
    <n v="4"/>
    <n v="11"/>
    <n v="44"/>
    <n v="8"/>
    <n v="92"/>
    <n v="2"/>
    <n v="9"/>
    <n v="6"/>
    <s v="Get Bounes"/>
    <x v="1"/>
    <x v="3"/>
  </r>
  <r>
    <x v="226"/>
    <x v="5"/>
    <x v="1"/>
    <s v="Masters"/>
    <d v="2020-07-11T00:00:00"/>
    <x v="114"/>
    <n v="115825.37"/>
    <n v="3"/>
    <n v="9"/>
    <n v="38"/>
    <n v="4"/>
    <n v="31"/>
    <n v="9"/>
    <n v="9"/>
    <n v="6"/>
    <s v="No Bounes"/>
    <x v="11"/>
    <x v="3"/>
  </r>
  <r>
    <x v="227"/>
    <x v="2"/>
    <x v="0"/>
    <s v="High School"/>
    <d v="2023-09-13T00:00:00"/>
    <x v="33"/>
    <n v="112437.82"/>
    <n v="5"/>
    <n v="8"/>
    <n v="42"/>
    <n v="4"/>
    <n v="76"/>
    <n v="7"/>
    <n v="8"/>
    <n v="3"/>
    <s v="No Bounes"/>
    <x v="4"/>
    <x v="2"/>
  </r>
  <r>
    <x v="228"/>
    <x v="0"/>
    <x v="0"/>
    <s v="Associates"/>
    <d v="2020-09-05T00:00:00"/>
    <x v="107"/>
    <n v="122925.41"/>
    <n v="5"/>
    <n v="8"/>
    <n v="36"/>
    <n v="3"/>
    <n v="84"/>
    <n v="8"/>
    <n v="10"/>
    <n v="6"/>
    <s v="No Bounes"/>
    <x v="4"/>
    <x v="3"/>
  </r>
  <r>
    <x v="229"/>
    <x v="2"/>
    <x v="3"/>
    <s v="Associates"/>
    <d v="2020-03-09T00:00:00"/>
    <x v="86"/>
    <n v="56203.98"/>
    <n v="1"/>
    <n v="8"/>
    <n v="48"/>
    <n v="7"/>
    <n v="128"/>
    <n v="5"/>
    <n v="2"/>
    <n v="6"/>
    <s v="No Bounes"/>
    <x v="2"/>
    <x v="3"/>
  </r>
  <r>
    <x v="230"/>
    <x v="2"/>
    <x v="3"/>
    <s v="Associates"/>
    <d v="2021-07-12T00:00:00"/>
    <x v="115"/>
    <n v="58512.78"/>
    <n v="5"/>
    <n v="11"/>
    <n v="32"/>
    <n v="6"/>
    <n v="90"/>
    <n v="5"/>
    <n v="10"/>
    <n v="5"/>
    <s v="No Bounes"/>
    <x v="11"/>
    <x v="0"/>
  </r>
  <r>
    <x v="231"/>
    <x v="3"/>
    <x v="0"/>
    <s v="Masters"/>
    <d v="2022-11-01T00:00:00"/>
    <x v="99"/>
    <n v="113772.34"/>
    <n v="3"/>
    <n v="10"/>
    <n v="53"/>
    <n v="5"/>
    <n v="107"/>
    <n v="2"/>
    <n v="6"/>
    <n v="3"/>
    <s v="No Bounes"/>
    <x v="9"/>
    <x v="1"/>
  </r>
  <r>
    <x v="232"/>
    <x v="1"/>
    <x v="4"/>
    <s v="Masters"/>
    <d v="2021-04-24T00:00:00"/>
    <x v="31"/>
    <n v="131092.20000000001"/>
    <n v="3"/>
    <n v="5"/>
    <n v="44"/>
    <n v="3"/>
    <n v="130"/>
    <n v="8"/>
    <n v="7"/>
    <n v="5"/>
    <s v="No Bounes"/>
    <x v="5"/>
    <x v="0"/>
  </r>
  <r>
    <x v="233"/>
    <x v="0"/>
    <x v="3"/>
    <s v="Associates"/>
    <d v="2022-10-12T00:00:00"/>
    <x v="61"/>
    <n v="65929.75"/>
    <n v="4"/>
    <n v="9"/>
    <n v="17"/>
    <n v="4"/>
    <n v="93"/>
    <n v="8"/>
    <n v="2"/>
    <n v="4"/>
    <s v="No Bounes"/>
    <x v="6"/>
    <x v="1"/>
  </r>
  <r>
    <x v="234"/>
    <x v="5"/>
    <x v="2"/>
    <s v="Masters"/>
    <d v="2022-07-10T00:00:00"/>
    <x v="81"/>
    <n v="76502.03"/>
    <n v="3"/>
    <n v="11"/>
    <n v="46"/>
    <n v="4"/>
    <n v="130"/>
    <n v="6"/>
    <n v="6"/>
    <n v="4"/>
    <s v="No Bounes"/>
    <x v="11"/>
    <x v="1"/>
  </r>
  <r>
    <x v="235"/>
    <x v="2"/>
    <x v="4"/>
    <s v="Masters"/>
    <d v="2020-02-21T00:00:00"/>
    <x v="116"/>
    <n v="217822.2"/>
    <n v="2"/>
    <n v="0"/>
    <n v="32"/>
    <n v="2"/>
    <n v="62"/>
    <n v="8"/>
    <n v="9"/>
    <n v="6"/>
    <s v="Get Bounes"/>
    <x v="3"/>
    <x v="3"/>
  </r>
  <r>
    <x v="236"/>
    <x v="0"/>
    <x v="1"/>
    <s v="Bachelors"/>
    <d v="2020-09-04T00:00:00"/>
    <x v="77"/>
    <n v="146255.89000000001"/>
    <n v="3"/>
    <n v="12"/>
    <n v="48"/>
    <n v="3"/>
    <n v="135"/>
    <n v="6"/>
    <n v="9"/>
    <n v="6"/>
    <s v="No Bounes"/>
    <x v="4"/>
    <x v="3"/>
  </r>
  <r>
    <x v="237"/>
    <x v="0"/>
    <x v="4"/>
    <s v="PhD"/>
    <d v="2021-03-23T00:00:00"/>
    <x v="19"/>
    <n v="123537.44"/>
    <n v="1"/>
    <n v="10"/>
    <n v="35"/>
    <n v="3"/>
    <n v="76"/>
    <n v="8"/>
    <n v="10"/>
    <n v="5"/>
    <s v="No Bounes"/>
    <x v="2"/>
    <x v="0"/>
  </r>
  <r>
    <x v="238"/>
    <x v="4"/>
    <x v="2"/>
    <s v="Associates"/>
    <d v="2023-01-26T00:00:00"/>
    <x v="91"/>
    <n v="89660.28"/>
    <n v="4"/>
    <n v="11"/>
    <n v="46"/>
    <n v="5"/>
    <n v="38"/>
    <n v="3"/>
    <n v="3"/>
    <n v="3"/>
    <s v="No Bounes"/>
    <x v="0"/>
    <x v="2"/>
  </r>
  <r>
    <x v="239"/>
    <x v="5"/>
    <x v="1"/>
    <s v="PhD"/>
    <d v="2023-10-22T00:00:00"/>
    <x v="76"/>
    <n v="139111.62"/>
    <n v="4"/>
    <n v="10"/>
    <n v="45"/>
    <n v="3"/>
    <n v="101"/>
    <n v="10"/>
    <n v="1"/>
    <n v="2"/>
    <s v="No Bounes"/>
    <x v="6"/>
    <x v="2"/>
  </r>
  <r>
    <x v="240"/>
    <x v="3"/>
    <x v="2"/>
    <s v="PhD"/>
    <d v="2023-10-11T00:00:00"/>
    <x v="102"/>
    <n v="102695.34"/>
    <n v="1"/>
    <n v="4"/>
    <n v="27"/>
    <n v="4"/>
    <n v="90"/>
    <n v="2"/>
    <n v="9"/>
    <n v="3"/>
    <s v="No Bounes"/>
    <x v="6"/>
    <x v="2"/>
  </r>
  <r>
    <x v="241"/>
    <x v="0"/>
    <x v="3"/>
    <s v="Masters"/>
    <d v="2021-12-03T00:00:00"/>
    <x v="96"/>
    <n v="51857.32"/>
    <n v="2"/>
    <n v="11"/>
    <n v="28"/>
    <n v="4"/>
    <n v="85"/>
    <n v="7"/>
    <n v="2"/>
    <n v="4"/>
    <s v="No Bounes"/>
    <x v="7"/>
    <x v="0"/>
  </r>
  <r>
    <x v="242"/>
    <x v="3"/>
    <x v="0"/>
    <s v="High School"/>
    <d v="2022-10-05T00:00:00"/>
    <x v="32"/>
    <n v="134966.23000000001"/>
    <n v="5"/>
    <n v="11"/>
    <n v="54"/>
    <n v="8"/>
    <n v="52"/>
    <n v="6"/>
    <n v="1"/>
    <n v="4"/>
    <s v="No Bounes"/>
    <x v="6"/>
    <x v="1"/>
  </r>
  <r>
    <x v="243"/>
    <x v="4"/>
    <x v="4"/>
    <s v="High School"/>
    <d v="2020-11-12T00:00:00"/>
    <x v="96"/>
    <n v="157521.12"/>
    <n v="4"/>
    <n v="9"/>
    <n v="28"/>
    <n v="4"/>
    <n v="112"/>
    <n v="5"/>
    <n v="10"/>
    <n v="5"/>
    <s v="No Bounes"/>
    <x v="9"/>
    <x v="3"/>
  </r>
  <r>
    <x v="244"/>
    <x v="1"/>
    <x v="4"/>
    <s v="PhD"/>
    <d v="2023-07-16T00:00:00"/>
    <x v="27"/>
    <n v="137142.96"/>
    <n v="2"/>
    <n v="10"/>
    <n v="39"/>
    <n v="7"/>
    <n v="121"/>
    <n v="7"/>
    <n v="6"/>
    <n v="3"/>
    <s v="No Bounes"/>
    <x v="11"/>
    <x v="2"/>
  </r>
  <r>
    <x v="245"/>
    <x v="2"/>
    <x v="4"/>
    <s v="High School"/>
    <d v="2021-03-29T00:00:00"/>
    <x v="70"/>
    <n v="194670.37"/>
    <n v="4"/>
    <n v="9"/>
    <n v="40"/>
    <n v="6"/>
    <n v="118"/>
    <n v="3"/>
    <n v="3"/>
    <n v="5"/>
    <s v="No Bounes"/>
    <x v="2"/>
    <x v="0"/>
  </r>
  <r>
    <x v="246"/>
    <x v="4"/>
    <x v="1"/>
    <s v="Associates"/>
    <d v="2020-01-01T00:00:00"/>
    <x v="103"/>
    <n v="154973.9"/>
    <n v="2"/>
    <n v="8"/>
    <n v="22"/>
    <n v="2"/>
    <n v="104"/>
    <n v="7"/>
    <n v="2"/>
    <n v="6"/>
    <s v="Get Bounes"/>
    <x v="0"/>
    <x v="3"/>
  </r>
  <r>
    <x v="247"/>
    <x v="1"/>
    <x v="4"/>
    <s v="Masters"/>
    <d v="2022-06-24T00:00:00"/>
    <x v="117"/>
    <n v="207101.52"/>
    <n v="1"/>
    <n v="4"/>
    <n v="38"/>
    <n v="4"/>
    <n v="129"/>
    <n v="10"/>
    <n v="8"/>
    <n v="4"/>
    <s v="No Bounes"/>
    <x v="1"/>
    <x v="1"/>
  </r>
  <r>
    <x v="248"/>
    <x v="0"/>
    <x v="4"/>
    <s v="PhD"/>
    <d v="2021-04-06T00:00:00"/>
    <x v="18"/>
    <n v="152741.35"/>
    <n v="1"/>
    <n v="6"/>
    <n v="20"/>
    <n v="4"/>
    <n v="119"/>
    <n v="6"/>
    <n v="9"/>
    <n v="5"/>
    <s v="No Bounes"/>
    <x v="5"/>
    <x v="0"/>
  </r>
  <r>
    <x v="249"/>
    <x v="1"/>
    <x v="3"/>
    <s v="PhD"/>
    <d v="2021-09-23T00:00:00"/>
    <x v="25"/>
    <n v="57416.24"/>
    <n v="4"/>
    <n v="13"/>
    <n v="30"/>
    <n v="5"/>
    <n v="66"/>
    <n v="7"/>
    <n v="2"/>
    <n v="5"/>
    <s v="No Bounes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1A134-733C-4D73-8D89-91397A970705}" name="PivotTable11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0">
  <location ref="D17:E24" firstHeaderRow="1" firstDataRow="1" firstDataCol="1"/>
  <pivotFields count="18">
    <pivotField compact="0" outline="0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compact="0" outline="0" showAll="0">
      <items count="7">
        <item h="1" x="4"/>
        <item h="1" x="3"/>
        <item h="1" x="0"/>
        <item h="1" x="5"/>
        <item h="1" x="1"/>
        <item x="2"/>
        <item t="default"/>
      </items>
    </pivotField>
    <pivotField compact="0" outline="0" showAll="0">
      <items count="6">
        <item h="1" x="3"/>
        <item h="1" x="1"/>
        <item h="1" x="4"/>
        <item x="2"/>
        <item h="1" x="0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0"/>
        <item x="3"/>
        <item x="2"/>
        <item x="5"/>
        <item x="8"/>
        <item x="1"/>
        <item x="11"/>
        <item x="10"/>
        <item x="4"/>
        <item x="6"/>
        <item x="9"/>
        <item x="7"/>
        <item t="default"/>
      </items>
    </pivotField>
    <pivotField compact="0" outline="0" showAll="0">
      <items count="5">
        <item x="3"/>
        <item x="0"/>
        <item x="1"/>
        <item x="2"/>
        <item t="default"/>
      </items>
    </pivotField>
  </pivotFields>
  <rowFields count="1">
    <field x="16"/>
  </rowFields>
  <rowItems count="7">
    <i>
      <x/>
    </i>
    <i>
      <x v="2"/>
    </i>
    <i>
      <x v="3"/>
    </i>
    <i>
      <x v="6"/>
    </i>
    <i>
      <x v="8"/>
    </i>
    <i>
      <x v="9"/>
    </i>
    <i>
      <x v="10"/>
    </i>
  </rowItems>
  <colItems count="1">
    <i/>
  </colItems>
  <dataFields count="1">
    <dataField name="Sum of Training_Hours" fld="9" baseField="0" baseItem="0"/>
  </dataFields>
  <formats count="1">
    <format dxfId="30">
      <pivotArea outline="0" collapsedLevelsAreSubtotals="1" fieldPosition="0"/>
    </format>
  </formats>
  <chartFormats count="4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8D0E5-6513-4A59-9307-6DD0C2F05559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A11" firstHeaderRow="1" firstDataRow="1" firstDataCol="0"/>
  <pivotFields count="18"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Annual_Salary" fld="6" subtotal="average" baseField="0" baseItem="0" numFmtId="2"/>
  </dataFields>
  <formats count="1">
    <format dxfId="29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194E2-B178-4A3C-9E3C-EFA62C366317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A6" firstHeaderRow="1" firstDataRow="1" firstDataCol="0"/>
  <pivotFields count="18"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 Experience Years" fld="5" subtotal="average" baseField="0" baseItem="0" numFmtId="165"/>
  </dataFields>
  <formats count="1">
    <format dxfId="28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DF19B-32A9-440A-8618-7E6B751B0374}" name="PivotTable6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D5:E13" firstHeaderRow="1" firstDataRow="1" firstDataCol="1"/>
  <pivotFields count="18">
    <pivotField axis="axisRow" compact="0" outline="0" showAll="0" sortType="descending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7">
        <item h="1" x="4"/>
        <item h="1" x="3"/>
        <item h="1" x="0"/>
        <item h="1" x="5"/>
        <item h="1" x="1"/>
        <item x="2"/>
        <item t="default"/>
      </items>
    </pivotField>
    <pivotField compact="0" outline="0" showAll="0" sortType="descending">
      <items count="6">
        <item h="1" x="3"/>
        <item h="1" x="1"/>
        <item h="1" x="4"/>
        <item x="2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">
        <item x="0"/>
        <item x="3"/>
        <item x="2"/>
        <item x="5"/>
        <item x="8"/>
        <item x="1"/>
        <item x="11"/>
        <item x="10"/>
        <item x="4"/>
        <item x="6"/>
        <item x="9"/>
        <item x="7"/>
        <item t="default"/>
      </items>
    </pivotField>
    <pivotField compact="0" outline="0" showAll="0">
      <items count="5">
        <item x="3"/>
        <item x="0"/>
        <item x="1"/>
        <item x="2"/>
        <item t="default"/>
      </items>
    </pivotField>
  </pivotFields>
  <rowFields count="1">
    <field x="0"/>
  </rowFields>
  <rowItems count="8">
    <i>
      <x v="142"/>
    </i>
    <i>
      <x v="188"/>
    </i>
    <i>
      <x v="160"/>
    </i>
    <i>
      <x v="19"/>
    </i>
    <i>
      <x v="41"/>
    </i>
    <i>
      <x v="104"/>
    </i>
    <i>
      <x v="6"/>
    </i>
    <i>
      <x v="212"/>
    </i>
  </rowItems>
  <colItems count="1">
    <i/>
  </colItems>
  <dataFields count="1">
    <dataField name="Sum of Performance_Rating" fld="7" baseField="0" baseItem="0"/>
  </dataFields>
  <formats count="1">
    <format dxfId="27">
      <pivotArea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79B36-6EF8-4739-BA96-5608384300E6}" name="PivotTable5" cacheId="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D1:D2" firstHeaderRow="1" firstDataRow="1" firstDataCol="0"/>
  <pivotFields count="18"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</pivotFields>
  <rowItems count="1">
    <i/>
  </rowItems>
  <colItems count="1">
    <i/>
  </colItems>
  <dataFields count="1">
    <dataField name="Total Projects_Completed" fld="8" baseField="0" baseItem="0"/>
  </dataFields>
  <formats count="1">
    <format dxfId="26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34984-2F5D-41B0-8294-DD7264EC717D}" name="PivotTable9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1">
  <location ref="P1:Q9" firstHeaderRow="1" firstDataRow="1" firstDataCol="1"/>
  <pivotFields count="18">
    <pivotField compact="0" outline="0" showAll="0"/>
    <pivotField compact="0" outline="0" showAll="0">
      <items count="7">
        <item h="1" x="4"/>
        <item h="1" x="3"/>
        <item h="1" x="0"/>
        <item h="1" x="5"/>
        <item h="1" x="1"/>
        <item x="2"/>
        <item t="default"/>
      </items>
    </pivotField>
    <pivotField compact="0" outline="0" showAll="0">
      <items count="6">
        <item h="1" x="3"/>
        <item h="1" x="1"/>
        <item h="1" x="4"/>
        <item x="2"/>
        <item h="1" x="0"/>
        <item t="default"/>
      </items>
    </pivotField>
    <pivotField compact="0" outline="0" showAll="0"/>
    <pivotField compact="0" numFmtId="164" outline="0" showAll="0"/>
    <pivotField axis="axisRow" compact="0" outline="0" showAll="0">
      <items count="119">
        <item x="45"/>
        <item x="14"/>
        <item x="64"/>
        <item x="78"/>
        <item x="15"/>
        <item x="106"/>
        <item x="35"/>
        <item x="98"/>
        <item x="68"/>
        <item x="40"/>
        <item x="19"/>
        <item x="31"/>
        <item x="41"/>
        <item x="13"/>
        <item x="21"/>
        <item x="34"/>
        <item x="3"/>
        <item x="65"/>
        <item x="110"/>
        <item x="87"/>
        <item x="55"/>
        <item x="9"/>
        <item x="27"/>
        <item x="111"/>
        <item x="46"/>
        <item x="96"/>
        <item x="86"/>
        <item x="114"/>
        <item x="29"/>
        <item x="74"/>
        <item x="72"/>
        <item x="67"/>
        <item x="18"/>
        <item x="100"/>
        <item x="48"/>
        <item x="101"/>
        <item x="49"/>
        <item x="81"/>
        <item x="99"/>
        <item x="44"/>
        <item x="63"/>
        <item x="60"/>
        <item x="58"/>
        <item x="59"/>
        <item x="20"/>
        <item x="37"/>
        <item x="105"/>
        <item x="94"/>
        <item x="82"/>
        <item x="39"/>
        <item x="108"/>
        <item x="5"/>
        <item x="8"/>
        <item x="115"/>
        <item x="61"/>
        <item x="112"/>
        <item x="25"/>
        <item x="88"/>
        <item x="33"/>
        <item x="76"/>
        <item x="11"/>
        <item x="26"/>
        <item x="77"/>
        <item x="109"/>
        <item x="7"/>
        <item x="92"/>
        <item x="97"/>
        <item x="102"/>
        <item x="1"/>
        <item x="73"/>
        <item x="43"/>
        <item x="89"/>
        <item x="93"/>
        <item x="53"/>
        <item x="107"/>
        <item x="10"/>
        <item x="23"/>
        <item x="42"/>
        <item x="91"/>
        <item x="69"/>
        <item x="24"/>
        <item x="50"/>
        <item x="85"/>
        <item x="71"/>
        <item x="54"/>
        <item x="16"/>
        <item x="113"/>
        <item x="90"/>
        <item x="84"/>
        <item x="0"/>
        <item x="38"/>
        <item x="6"/>
        <item x="57"/>
        <item x="47"/>
        <item x="75"/>
        <item x="4"/>
        <item x="30"/>
        <item x="104"/>
        <item x="36"/>
        <item x="95"/>
        <item x="62"/>
        <item x="32"/>
        <item x="56"/>
        <item x="12"/>
        <item x="52"/>
        <item x="28"/>
        <item x="117"/>
        <item x="79"/>
        <item x="83"/>
        <item x="22"/>
        <item x="51"/>
        <item x="70"/>
        <item x="66"/>
        <item x="103"/>
        <item x="116"/>
        <item x="17"/>
        <item x="80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</pivotFields>
  <rowFields count="1">
    <field x="5"/>
  </rowFields>
  <rowItems count="8">
    <i>
      <x v="9"/>
    </i>
    <i>
      <x v="12"/>
    </i>
    <i>
      <x v="15"/>
    </i>
    <i>
      <x v="28"/>
    </i>
    <i>
      <x v="30"/>
    </i>
    <i>
      <x v="91"/>
    </i>
    <i>
      <x v="94"/>
    </i>
    <i>
      <x v="115"/>
    </i>
  </rowItems>
  <colItems count="1">
    <i/>
  </colItems>
  <dataFields count="1">
    <dataField name="Sum of Performance_Rating" fld="7" baseField="0" baseItem="0"/>
  </dataFields>
  <formats count="1">
    <format dxfId="25">
      <pivotArea outline="0" collapsedLevelsAreSubtotals="1" fieldPosition="0"/>
    </format>
  </formats>
  <chartFormats count="2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56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6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66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95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03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56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64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66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95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03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56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64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66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95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03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C9A1E-C596-4C41-8555-1004E18A3CA4}" name="PivotTable8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L1:M9" firstHeaderRow="1" firstDataRow="1" firstDataCol="1"/>
  <pivotFields count="18">
    <pivotField axis="axisRow" compact="0" outline="0" showAll="0" sortType="descending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7">
        <item h="1" x="4"/>
        <item h="1" x="3"/>
        <item h="1" x="0"/>
        <item h="1" x="5"/>
        <item h="1" x="1"/>
        <item x="2"/>
        <item t="default"/>
      </items>
    </pivotField>
    <pivotField compact="0" outline="0" showAll="0">
      <items count="6">
        <item h="1" x="3"/>
        <item h="1" x="1"/>
        <item h="1" x="4"/>
        <item x="2"/>
        <item h="1" x="0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</pivotFields>
  <rowFields count="1">
    <field x="0"/>
  </rowFields>
  <rowItems count="8">
    <i>
      <x v="160"/>
    </i>
    <i>
      <x v="188"/>
    </i>
    <i>
      <x v="104"/>
    </i>
    <i>
      <x v="41"/>
    </i>
    <i>
      <x v="142"/>
    </i>
    <i>
      <x v="19"/>
    </i>
    <i>
      <x v="212"/>
    </i>
    <i>
      <x v="6"/>
    </i>
  </rowItems>
  <colItems count="1">
    <i/>
  </colItems>
  <dataFields count="1">
    <dataField name="Sum of Projects_Completed" fld="8" baseField="0" baseItem="0"/>
  </dataFields>
  <formats count="1">
    <format dxfId="24">
      <pivotArea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B9F22-9204-4F7D-A354-0370FD885850}" name="PivotTable10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3">
  <location ref="A20:B28" firstHeaderRow="1" firstDataRow="1" firstDataCol="1"/>
  <pivotFields count="18">
    <pivotField axis="axisRow" compact="0" outline="0" showAll="0" sortType="descending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7">
        <item h="1" x="4"/>
        <item h="1" x="3"/>
        <item h="1" x="0"/>
        <item h="1" x="5"/>
        <item h="1" x="1"/>
        <item x="2"/>
        <item t="default"/>
      </items>
    </pivotField>
    <pivotField compact="0" outline="0" showAll="0">
      <items count="6">
        <item h="1" x="3"/>
        <item h="1" x="1"/>
        <item h="1" x="4"/>
        <item x="2"/>
        <item h="1" x="0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13">
        <item x="0"/>
        <item x="3"/>
        <item x="2"/>
        <item x="5"/>
        <item x="8"/>
        <item x="1"/>
        <item x="11"/>
        <item x="10"/>
        <item x="4"/>
        <item x="6"/>
        <item x="9"/>
        <item x="7"/>
        <item t="default"/>
      </items>
    </pivotField>
    <pivotField compact="0" outline="0" showAll="0">
      <items count="5">
        <item x="3"/>
        <item x="0"/>
        <item x="1"/>
        <item x="2"/>
        <item t="default"/>
      </items>
    </pivotField>
  </pivotFields>
  <rowFields count="1">
    <field x="0"/>
  </rowFields>
  <rowItems count="8">
    <i>
      <x v="19"/>
    </i>
    <i>
      <x v="188"/>
    </i>
    <i>
      <x v="104"/>
    </i>
    <i>
      <x v="212"/>
    </i>
    <i>
      <x v="41"/>
    </i>
    <i>
      <x v="6"/>
    </i>
    <i>
      <x v="142"/>
    </i>
    <i>
      <x v="160"/>
    </i>
  </rowItems>
  <colItems count="1">
    <i/>
  </colItems>
  <dataFields count="1">
    <dataField name="Sum of Current Year" fld="14" baseField="0" baseItem="0"/>
  </dataFields>
  <formats count="1">
    <format dxfId="23">
      <pivotArea outline="0" collapsedLevelsAreSubtotals="1" fieldPosition="0"/>
    </format>
  </formats>
  <chartFormats count="6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D5D05-88BF-4005-A915-19A59988014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A2" firstHeaderRow="1" firstDataRow="1" firstDataCol="0"/>
  <pivotFields count="18">
    <pivotField dataField="1"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Total  Employee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D8914-DABC-4AAF-A4EF-37092FB52AA7}" name="PivotTable7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H1:I9" firstHeaderRow="1" firstDataRow="1" firstDataCol="1"/>
  <pivotFields count="18">
    <pivotField axis="axisRow" compact="0" outline="0" showAll="0" sortType="descending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7">
        <item h="1" x="4"/>
        <item h="1" x="3"/>
        <item h="1" x="0"/>
        <item h="1" x="5"/>
        <item h="1" x="1"/>
        <item x="2"/>
        <item t="default"/>
      </items>
    </pivotField>
    <pivotField compact="0" outline="0" showAll="0">
      <items count="6">
        <item h="1" x="3"/>
        <item h="1" x="1"/>
        <item h="1" x="4"/>
        <item x="2"/>
        <item h="1" x="0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</pivotFields>
  <rowFields count="1">
    <field x="0"/>
  </rowFields>
  <rowItems count="8">
    <i>
      <x v="104"/>
    </i>
    <i>
      <x v="188"/>
    </i>
    <i>
      <x v="142"/>
    </i>
    <i>
      <x v="19"/>
    </i>
    <i>
      <x v="212"/>
    </i>
    <i>
      <x v="41"/>
    </i>
    <i>
      <x v="6"/>
    </i>
    <i>
      <x v="160"/>
    </i>
  </rowItems>
  <colItems count="1">
    <i/>
  </colItems>
  <dataFields count="1">
    <dataField name="Sum of Job_Satisfaction" fld="12" baseField="0" baseItem="0"/>
  </dataFields>
  <formats count="1">
    <format dxfId="22">
      <pivotArea outline="0" collapsedLevelsAreSubtotals="1" fieldPosition="0"/>
    </format>
  </formats>
  <chartFormats count="3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6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D4452-9EB0-4D9A-A44C-99ECE1D65CCD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6:A17" firstHeaderRow="1" firstDataRow="1" firstDataCol="0"/>
  <pivotFields count="18"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Performance Rating" fld="7" subtotal="average" baseField="0" baseItem="0" numFmtId="1"/>
  </dataFields>
  <formats count="1">
    <format dxfId="21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B5999-9E6B-463C-B066-77F1780C6AC4}" name="PivotTable1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O5:AO6" firstHeaderRow="1" firstDataRow="1" firstDataCol="0"/>
  <pivotFields count="18">
    <pivotField dataField="1" compact="0" outline="0" showAll="0"/>
    <pivotField compact="0" outline="0" showAll="0">
      <items count="7">
        <item h="1" x="4"/>
        <item h="1" x="3"/>
        <item h="1" x="0"/>
        <item h="1" x="5"/>
        <item h="1" x="1"/>
        <item x="2"/>
        <item t="default"/>
      </items>
    </pivotField>
    <pivotField compact="0" outline="0" showAll="0">
      <items count="6">
        <item h="1" x="3"/>
        <item h="1" x="1"/>
        <item h="1" x="4"/>
        <item x="2"/>
        <item h="1" x="0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</pivotFields>
  <rowItems count="1">
    <i/>
  </rowItems>
  <colItems count="1">
    <i/>
  </colItems>
  <dataFields count="1">
    <dataField name="Count of Employee_ID" fld="0" subtotal="count" baseField="0" baseItem="0"/>
  </dataFields>
  <formats count="1">
    <format dxfId="20">
      <pivotArea type="all" dataOnly="0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873AB6A8-703F-4937-959B-6816D004FE7E}" sourceName="Month">
  <pivotTables>
    <pivotTable tabId="3" name="PivotTable6"/>
    <pivotTable tabId="3" name="PivotTable10"/>
    <pivotTable tabId="3" name="PivotTable11"/>
  </pivotTables>
  <data>
    <tabular pivotCacheId="1357914409">
      <items count="12">
        <i x="0" s="1"/>
        <i x="2" s="1"/>
        <i x="5" s="1"/>
        <i x="11" s="1"/>
        <i x="4" s="1"/>
        <i x="6" s="1"/>
        <i x="9" s="1"/>
        <i x="3" s="1" nd="1"/>
        <i x="8" s="1" nd="1"/>
        <i x="1" s="1" nd="1"/>
        <i x="10" s="1" nd="1"/>
        <i x="7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8572DCE3-46B9-4153-99D3-BEB8E6BA8524}" sourceName="Department">
  <pivotTables>
    <pivotTable tabId="2" name="PivotTable11"/>
    <pivotTable tabId="3" name="PivotTable7"/>
    <pivotTable tabId="3" name="PivotTable6"/>
    <pivotTable tabId="3" name="PivotTable9"/>
    <pivotTable tabId="3" name="PivotTable8"/>
    <pivotTable tabId="3" name="PivotTable10"/>
    <pivotTable tabId="3" name="PivotTable11"/>
  </pivotTables>
  <data>
    <tabular pivotCacheId="1357914409">
      <items count="6">
        <i x="4"/>
        <i x="3"/>
        <i x="0"/>
        <i x="5"/>
        <i x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osition" xr10:uid="{128EA388-DDCD-44D7-84D1-4F647AA3F558}" sourceName="Position">
  <pivotTables>
    <pivotTable tabId="2" name="PivotTable11"/>
    <pivotTable tabId="3" name="PivotTable8"/>
    <pivotTable tabId="3" name="PivotTable9"/>
    <pivotTable tabId="3" name="PivotTable7"/>
    <pivotTable tabId="3" name="PivotTable6"/>
    <pivotTable tabId="3" name="PivotTable10"/>
    <pivotTable tabId="3" name="PivotTable11"/>
  </pivotTables>
  <data>
    <tabular pivotCacheId="1357914409">
      <items count="5">
        <i x="3"/>
        <i x="1"/>
        <i x="4"/>
        <i x="2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F97379FA-75D8-4FE5-BB56-B1AA8E582CF2}" cache="Slicer_Month" caption="Month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" xr10:uid="{140221B3-FB2B-42DB-8119-E070D717DB56}" cache="Slicer_Department" caption="Department" columnCount="6" showCaption="0" style="SlicerStyleDark1" rowHeight="228600"/>
  <slicer name="Position" xr10:uid="{6666C589-53EE-4130-B1A5-D0A2F070DDF3}" cache="Slicer_Position" caption="Position" columnCount="5" showCaption="0" style="SlicerStyleDark5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BF571F-09F6-4829-9F30-DE9591A45714}" name="data" displayName="data" ref="A1:R251" totalsRowShown="0" headerRowDxfId="19" headerRowBorderDxfId="17" tableBorderDxfId="18">
  <autoFilter ref="A1:R251" xr:uid="{94BF571F-09F6-4829-9F30-DE9591A45714}"/>
  <tableColumns count="18">
    <tableColumn id="1" xr3:uid="{E337A416-202E-439E-8F57-D92A82874693}" name="Employee_ID" dataDxfId="16"/>
    <tableColumn id="2" xr3:uid="{0D753DF2-8ECD-45E2-BDCA-EB4FBAD65892}" name="Department" dataDxfId="15"/>
    <tableColumn id="3" xr3:uid="{34B774CF-3961-4FF2-A0A3-A649494A78C8}" name="Position" dataDxfId="14"/>
    <tableColumn id="4" xr3:uid="{17BCD99C-E916-4297-B15E-534A6F1B2CD2}" name="Education" dataDxfId="13"/>
    <tableColumn id="5" xr3:uid="{DAC48E3F-D32B-4171-A7DD-5FC89481ED1D}" name="Join_Date" dataDxfId="12"/>
    <tableColumn id="6" xr3:uid="{6FA4A6DB-604B-444A-BE2E-F70EEE0AE042}" name="Experience_Years" dataDxfId="11"/>
    <tableColumn id="7" xr3:uid="{6135C049-16CA-499B-A95C-934616EC320F}" name="Annual_Salary" dataDxfId="10"/>
    <tableColumn id="8" xr3:uid="{CB8F3BB2-0D51-4A3A-B312-D3F23488C3F1}" name="Performance_Rating" dataDxfId="9"/>
    <tableColumn id="9" xr3:uid="{A2D34D01-B9C7-4530-A325-8E726DA244A6}" name="Projects_Completed" dataDxfId="8"/>
    <tableColumn id="10" xr3:uid="{5977C8A1-A1DE-464D-B68B-F74B3135226D}" name="Training_Hours" dataDxfId="7"/>
    <tableColumn id="11" xr3:uid="{56D757F3-04CA-4225-B771-AAB8B20CAA46}" name="Sick_Leaves" dataDxfId="6"/>
    <tableColumn id="12" xr3:uid="{65C3C05A-3F2E-4B9E-AB35-A9ACAA923167}" name="Overtime_Hours" dataDxfId="5"/>
    <tableColumn id="13" xr3:uid="{02344275-B369-4620-A18E-D4388F7A6589}" name="Job_Satisfaction" dataDxfId="4"/>
    <tableColumn id="14" xr3:uid="{DC04E536-8E7E-4394-AB19-BDBBA1E9CD6A}" name="Work_Life_Balance" dataDxfId="3"/>
    <tableColumn id="15" xr3:uid="{7B59A899-9CC5-4926-8104-5EFA98666504}" name="Current Year" dataDxfId="2">
      <calculatedColumnFormula>DATEDIF(E2,TODAY(),"y")</calculatedColumnFormula>
    </tableColumn>
    <tableColumn id="16" xr3:uid="{99947F7D-D156-415C-8EB4-1A492F456BBB}" name="Bounes Get">
      <calculatedColumnFormula>IF(AND(O2&gt;5,F2&gt;10),"Get Bounes","No Bounes")</calculatedColumnFormula>
    </tableColumn>
    <tableColumn id="17" xr3:uid="{6A71C3E7-7284-40A5-9977-1FC3F11C8026}" name="Month" dataDxfId="1">
      <calculatedColumnFormula>TEXT(data[[#This Row],[Join_Date]],"mmmm")</calculatedColumnFormula>
    </tableColumn>
    <tableColumn id="18" xr3:uid="{5D89C8FA-07E7-4845-B750-9BFCAF0448C8}" name="year" dataDxfId="0">
      <calculatedColumnFormula>TEXT(data[[#This Row],[Join_Date]],"yyyy")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workbookViewId="0">
      <selection activeCell="T10" sqref="T10"/>
    </sheetView>
  </sheetViews>
  <sheetFormatPr defaultRowHeight="15"/>
  <cols>
    <col min="1" max="1" width="15.140625" bestFit="1" customWidth="1"/>
    <col min="2" max="2" width="14.28515625" bestFit="1" customWidth="1"/>
    <col min="3" max="3" width="18.5703125" customWidth="1"/>
    <col min="4" max="4" width="12.28515625" bestFit="1" customWidth="1"/>
    <col min="5" max="5" width="12.28515625" style="4" bestFit="1" customWidth="1"/>
    <col min="6" max="6" width="19.28515625" bestFit="1" customWidth="1"/>
    <col min="7" max="7" width="16.42578125" bestFit="1" customWidth="1"/>
    <col min="8" max="8" width="22" bestFit="1" customWidth="1"/>
    <col min="9" max="9" width="21.7109375" bestFit="1" customWidth="1"/>
    <col min="10" max="10" width="17.140625" bestFit="1" customWidth="1"/>
    <col min="11" max="11" width="14" bestFit="1" customWidth="1"/>
    <col min="12" max="12" width="18.28515625" bestFit="1" customWidth="1"/>
    <col min="13" max="13" width="18" bestFit="1" customWidth="1"/>
    <col min="14" max="14" width="20.85546875" bestFit="1" customWidth="1"/>
    <col min="15" max="15" width="19.5703125" style="6" customWidth="1"/>
    <col min="16" max="16" width="17.5703125" customWidth="1"/>
    <col min="17" max="17" width="14.28515625" customWidth="1"/>
  </cols>
  <sheetData>
    <row r="1" spans="1:18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2" t="s">
        <v>13</v>
      </c>
      <c r="O1" s="12" t="s">
        <v>14</v>
      </c>
      <c r="P1" s="13" t="s">
        <v>15</v>
      </c>
      <c r="Q1" s="13" t="s">
        <v>16</v>
      </c>
      <c r="R1" s="13" t="s">
        <v>17</v>
      </c>
    </row>
    <row r="2" spans="1:18">
      <c r="A2" s="8" t="s">
        <v>18</v>
      </c>
      <c r="B2" s="1" t="s">
        <v>19</v>
      </c>
      <c r="C2" s="1" t="s">
        <v>20</v>
      </c>
      <c r="D2" s="1" t="s">
        <v>21</v>
      </c>
      <c r="E2" s="5">
        <v>44224</v>
      </c>
      <c r="F2" s="1">
        <v>11.7</v>
      </c>
      <c r="G2" s="1">
        <v>125162.98</v>
      </c>
      <c r="H2" s="1">
        <v>1</v>
      </c>
      <c r="I2" s="1">
        <v>6</v>
      </c>
      <c r="J2" s="1">
        <v>49</v>
      </c>
      <c r="K2" s="1">
        <v>5</v>
      </c>
      <c r="L2" s="1">
        <v>54</v>
      </c>
      <c r="M2" s="1">
        <v>8</v>
      </c>
      <c r="N2" s="2">
        <v>2</v>
      </c>
      <c r="O2" s="7">
        <f ca="1">DATEDIF(E2,TODAY(),"y")</f>
        <v>5</v>
      </c>
      <c r="P2" s="6" t="str">
        <f ca="1">IF(AND(O2&gt;5,F2&gt;10),"Get Bounes","No Bounes")</f>
        <v>No Bounes</v>
      </c>
      <c r="Q2" t="str">
        <f>TEXT(data[[#This Row],[Join_Date]],"mmmm")</f>
        <v>January</v>
      </c>
      <c r="R2" t="str">
        <f>TEXT(data[[#This Row],[Join_Date]],"yyyy")</f>
        <v>2021</v>
      </c>
    </row>
    <row r="3" spans="1:18">
      <c r="A3" s="8" t="s">
        <v>22</v>
      </c>
      <c r="B3" s="1" t="s">
        <v>19</v>
      </c>
      <c r="C3" s="1" t="s">
        <v>23</v>
      </c>
      <c r="D3" s="1" t="s">
        <v>24</v>
      </c>
      <c r="E3" s="5">
        <v>44720</v>
      </c>
      <c r="F3" s="1">
        <v>9.1</v>
      </c>
      <c r="G3" s="1">
        <v>131512.03</v>
      </c>
      <c r="H3" s="1">
        <v>1</v>
      </c>
      <c r="I3" s="1">
        <v>8</v>
      </c>
      <c r="J3" s="1">
        <v>56</v>
      </c>
      <c r="K3" s="1">
        <v>0</v>
      </c>
      <c r="L3" s="1">
        <v>87</v>
      </c>
      <c r="M3" s="1">
        <v>5</v>
      </c>
      <c r="N3" s="2">
        <v>2</v>
      </c>
      <c r="O3" s="7">
        <f t="shared" ref="O3:O66" ca="1" si="0">DATEDIF(E3,TODAY(),"y")</f>
        <v>4</v>
      </c>
      <c r="P3" s="6" t="str">
        <f t="shared" ref="P3:P66" ca="1" si="1">IF(AND(O3&gt;5,F3&gt;10),"Get Bounes","No Bounes")</f>
        <v>No Bounes</v>
      </c>
      <c r="Q3" t="str">
        <f>TEXT(data[[#This Row],[Join_Date]],"mmmm")</f>
        <v>June</v>
      </c>
      <c r="R3" t="str">
        <f>TEXT(data[[#This Row],[Join_Date]],"yyyy")</f>
        <v>2022</v>
      </c>
    </row>
    <row r="4" spans="1:18">
      <c r="A4" s="8" t="s">
        <v>25</v>
      </c>
      <c r="B4" s="1" t="s">
        <v>26</v>
      </c>
      <c r="C4" s="1" t="s">
        <v>27</v>
      </c>
      <c r="D4" s="1" t="s">
        <v>28</v>
      </c>
      <c r="E4" s="5">
        <v>44717</v>
      </c>
      <c r="F4" s="1">
        <v>14.8</v>
      </c>
      <c r="G4" s="1">
        <v>112589.43</v>
      </c>
      <c r="H4" s="1">
        <v>4</v>
      </c>
      <c r="I4" s="1">
        <v>13</v>
      </c>
      <c r="J4" s="1">
        <v>31</v>
      </c>
      <c r="K4" s="1">
        <v>3</v>
      </c>
      <c r="L4" s="1">
        <v>97</v>
      </c>
      <c r="M4" s="1">
        <v>10</v>
      </c>
      <c r="N4" s="2">
        <v>4</v>
      </c>
      <c r="O4" s="7">
        <f t="shared" ca="1" si="0"/>
        <v>4</v>
      </c>
      <c r="P4" s="6" t="str">
        <f t="shared" ca="1" si="1"/>
        <v>No Bounes</v>
      </c>
      <c r="Q4" t="str">
        <f>TEXT(data[[#This Row],[Join_Date]],"mmmm")</f>
        <v>June</v>
      </c>
      <c r="R4" t="str">
        <f>TEXT(data[[#This Row],[Join_Date]],"yyyy")</f>
        <v>2022</v>
      </c>
    </row>
    <row r="5" spans="1:18">
      <c r="A5" s="8" t="s">
        <v>29</v>
      </c>
      <c r="B5" s="1" t="s">
        <v>30</v>
      </c>
      <c r="C5" s="1" t="s">
        <v>23</v>
      </c>
      <c r="D5" s="1" t="s">
        <v>31</v>
      </c>
      <c r="E5" s="5">
        <v>44996</v>
      </c>
      <c r="F5" s="1">
        <v>2.9</v>
      </c>
      <c r="G5" s="1">
        <v>106680.41</v>
      </c>
      <c r="H5" s="1">
        <v>4</v>
      </c>
      <c r="I5" s="1">
        <v>14</v>
      </c>
      <c r="J5" s="1">
        <v>33</v>
      </c>
      <c r="K5" s="1">
        <v>4</v>
      </c>
      <c r="L5" s="1">
        <v>86</v>
      </c>
      <c r="M5" s="1">
        <v>6</v>
      </c>
      <c r="N5" s="2">
        <v>6</v>
      </c>
      <c r="O5" s="7">
        <f t="shared" ca="1" si="0"/>
        <v>3</v>
      </c>
      <c r="P5" s="6" t="str">
        <f t="shared" ca="1" si="1"/>
        <v>No Bounes</v>
      </c>
      <c r="Q5" t="str">
        <f>TEXT(data[[#This Row],[Join_Date]],"mmmm")</f>
        <v>March</v>
      </c>
      <c r="R5" t="str">
        <f>TEXT(data[[#This Row],[Join_Date]],"yyyy")</f>
        <v>2023</v>
      </c>
    </row>
    <row r="6" spans="1:18">
      <c r="A6" s="8" t="s">
        <v>32</v>
      </c>
      <c r="B6" s="1" t="s">
        <v>19</v>
      </c>
      <c r="C6" s="1" t="s">
        <v>23</v>
      </c>
      <c r="D6" s="1" t="s">
        <v>21</v>
      </c>
      <c r="E6" s="5">
        <v>43876</v>
      </c>
      <c r="F6" s="1">
        <v>12.4</v>
      </c>
      <c r="G6" s="1">
        <v>161174.78</v>
      </c>
      <c r="H6" s="1">
        <v>4</v>
      </c>
      <c r="I6" s="1">
        <v>16</v>
      </c>
      <c r="J6" s="1">
        <v>61</v>
      </c>
      <c r="K6" s="1">
        <v>7</v>
      </c>
      <c r="L6" s="1">
        <v>111</v>
      </c>
      <c r="M6" s="1">
        <v>8</v>
      </c>
      <c r="N6" s="2">
        <v>7</v>
      </c>
      <c r="O6" s="7">
        <f t="shared" ca="1" si="0"/>
        <v>6</v>
      </c>
      <c r="P6" s="6" t="str">
        <f t="shared" ca="1" si="1"/>
        <v>Get Bounes</v>
      </c>
      <c r="Q6" t="str">
        <f>TEXT(data[[#This Row],[Join_Date]],"mmmm")</f>
        <v>February</v>
      </c>
      <c r="R6" t="str">
        <f>TEXT(data[[#This Row],[Join_Date]],"yyyy")</f>
        <v>2020</v>
      </c>
    </row>
    <row r="7" spans="1:18">
      <c r="A7" s="8" t="s">
        <v>33</v>
      </c>
      <c r="B7" s="1" t="s">
        <v>30</v>
      </c>
      <c r="C7" s="1" t="s">
        <v>23</v>
      </c>
      <c r="D7" s="1" t="s">
        <v>28</v>
      </c>
      <c r="E7" s="5">
        <v>44648</v>
      </c>
      <c r="F7" s="1">
        <v>7</v>
      </c>
      <c r="G7" s="1">
        <v>135083.20000000001</v>
      </c>
      <c r="H7" s="1">
        <v>4</v>
      </c>
      <c r="I7" s="1">
        <v>12</v>
      </c>
      <c r="J7" s="1">
        <v>54</v>
      </c>
      <c r="K7" s="1">
        <v>3</v>
      </c>
      <c r="L7" s="1">
        <v>135</v>
      </c>
      <c r="M7" s="1">
        <v>6</v>
      </c>
      <c r="N7" s="2">
        <v>7</v>
      </c>
      <c r="O7" s="7">
        <f t="shared" ca="1" si="0"/>
        <v>4</v>
      </c>
      <c r="P7" s="6" t="str">
        <f t="shared" ca="1" si="1"/>
        <v>No Bounes</v>
      </c>
      <c r="Q7" t="str">
        <f>TEXT(data[[#This Row],[Join_Date]],"mmmm")</f>
        <v>March</v>
      </c>
      <c r="R7" t="str">
        <f>TEXT(data[[#This Row],[Join_Date]],"yyyy")</f>
        <v>2022</v>
      </c>
    </row>
    <row r="8" spans="1:18">
      <c r="A8" s="8" t="s">
        <v>34</v>
      </c>
      <c r="B8" s="1" t="s">
        <v>30</v>
      </c>
      <c r="C8" s="1" t="s">
        <v>27</v>
      </c>
      <c r="D8" s="1" t="s">
        <v>24</v>
      </c>
      <c r="E8" s="5">
        <v>44954</v>
      </c>
      <c r="F8" s="1">
        <v>11.9</v>
      </c>
      <c r="G8" s="1">
        <v>108532.54</v>
      </c>
      <c r="H8" s="1">
        <v>4</v>
      </c>
      <c r="I8" s="1">
        <v>6</v>
      </c>
      <c r="J8" s="1">
        <v>33</v>
      </c>
      <c r="K8" s="1">
        <v>6</v>
      </c>
      <c r="L8" s="1">
        <v>57</v>
      </c>
      <c r="M8" s="1">
        <v>4</v>
      </c>
      <c r="N8" s="2">
        <v>3</v>
      </c>
      <c r="O8" s="7">
        <f t="shared" ca="1" si="0"/>
        <v>3</v>
      </c>
      <c r="P8" s="6" t="str">
        <f t="shared" ca="1" si="1"/>
        <v>No Bounes</v>
      </c>
      <c r="Q8" t="str">
        <f>TEXT(data[[#This Row],[Join_Date]],"mmmm")</f>
        <v>January</v>
      </c>
      <c r="R8" t="str">
        <f>TEXT(data[[#This Row],[Join_Date]],"yyyy")</f>
        <v>2023</v>
      </c>
    </row>
    <row r="9" spans="1:18">
      <c r="A9" s="8" t="s">
        <v>35</v>
      </c>
      <c r="B9" s="1" t="s">
        <v>19</v>
      </c>
      <c r="C9" s="1" t="s">
        <v>23</v>
      </c>
      <c r="D9" s="1" t="s">
        <v>36</v>
      </c>
      <c r="E9" s="5">
        <v>44462</v>
      </c>
      <c r="F9" s="1">
        <v>8.6999999999999993</v>
      </c>
      <c r="G9" s="1">
        <v>130185.49</v>
      </c>
      <c r="H9" s="1">
        <v>3</v>
      </c>
      <c r="I9" s="1">
        <v>9</v>
      </c>
      <c r="J9" s="1">
        <v>31</v>
      </c>
      <c r="K9" s="1">
        <v>4</v>
      </c>
      <c r="L9" s="1">
        <v>16</v>
      </c>
      <c r="M9" s="1">
        <v>9</v>
      </c>
      <c r="N9" s="2">
        <v>5</v>
      </c>
      <c r="O9" s="7">
        <f t="shared" ca="1" si="0"/>
        <v>5</v>
      </c>
      <c r="P9" s="6" t="str">
        <f t="shared" ca="1" si="1"/>
        <v>No Bounes</v>
      </c>
      <c r="Q9" t="str">
        <f>TEXT(data[[#This Row],[Join_Date]],"mmmm")</f>
        <v>September</v>
      </c>
      <c r="R9" t="str">
        <f>TEXT(data[[#This Row],[Join_Date]],"yyyy")</f>
        <v>2021</v>
      </c>
    </row>
    <row r="10" spans="1:18">
      <c r="A10" s="8" t="s">
        <v>37</v>
      </c>
      <c r="B10" s="1" t="s">
        <v>38</v>
      </c>
      <c r="C10" s="1" t="s">
        <v>39</v>
      </c>
      <c r="D10" s="1" t="s">
        <v>31</v>
      </c>
      <c r="E10" s="5">
        <v>44681</v>
      </c>
      <c r="F10" s="1">
        <v>7.1</v>
      </c>
      <c r="G10" s="1">
        <v>65915.5</v>
      </c>
      <c r="H10" s="1">
        <v>4</v>
      </c>
      <c r="I10" s="1">
        <v>4</v>
      </c>
      <c r="J10" s="1">
        <v>33</v>
      </c>
      <c r="K10" s="1">
        <v>6</v>
      </c>
      <c r="L10" s="1">
        <v>94</v>
      </c>
      <c r="M10" s="1">
        <v>6</v>
      </c>
      <c r="N10" s="2">
        <v>4</v>
      </c>
      <c r="O10" s="7">
        <f t="shared" ca="1" si="0"/>
        <v>4</v>
      </c>
      <c r="P10" s="6" t="str">
        <f t="shared" ca="1" si="1"/>
        <v>No Bounes</v>
      </c>
      <c r="Q10" t="str">
        <f>TEXT(data[[#This Row],[Join_Date]],"mmmm")</f>
        <v>April</v>
      </c>
      <c r="R10" t="str">
        <f>TEXT(data[[#This Row],[Join_Date]],"yyyy")</f>
        <v>2022</v>
      </c>
    </row>
    <row r="11" spans="1:18">
      <c r="A11" s="8" t="s">
        <v>40</v>
      </c>
      <c r="B11" s="1" t="s">
        <v>30</v>
      </c>
      <c r="C11" s="1" t="s">
        <v>23</v>
      </c>
      <c r="D11" s="1" t="s">
        <v>24</v>
      </c>
      <c r="E11" s="5">
        <v>44478</v>
      </c>
      <c r="F11" s="1">
        <v>3.5</v>
      </c>
      <c r="G11" s="1">
        <v>125162.6</v>
      </c>
      <c r="H11" s="1">
        <v>1</v>
      </c>
      <c r="I11" s="1">
        <v>10</v>
      </c>
      <c r="J11" s="1">
        <v>46</v>
      </c>
      <c r="K11" s="1">
        <v>3</v>
      </c>
      <c r="L11" s="1">
        <v>108</v>
      </c>
      <c r="M11" s="1">
        <v>7</v>
      </c>
      <c r="N11" s="2">
        <v>7</v>
      </c>
      <c r="O11" s="7">
        <f t="shared" ca="1" si="0"/>
        <v>5</v>
      </c>
      <c r="P11" s="6" t="str">
        <f t="shared" ca="1" si="1"/>
        <v>No Bounes</v>
      </c>
      <c r="Q11" t="str">
        <f>TEXT(data[[#This Row],[Join_Date]],"mmmm")</f>
        <v>October</v>
      </c>
      <c r="R11" t="str">
        <f>TEXT(data[[#This Row],[Join_Date]],"yyyy")</f>
        <v>2021</v>
      </c>
    </row>
    <row r="12" spans="1:18">
      <c r="A12" s="8" t="s">
        <v>41</v>
      </c>
      <c r="B12" s="1" t="s">
        <v>38</v>
      </c>
      <c r="C12" s="1" t="s">
        <v>27</v>
      </c>
      <c r="D12" s="1" t="s">
        <v>24</v>
      </c>
      <c r="E12" s="5">
        <v>45179</v>
      </c>
      <c r="F12" s="1">
        <v>10</v>
      </c>
      <c r="G12" s="1">
        <v>105602.64</v>
      </c>
      <c r="H12" s="1">
        <v>5</v>
      </c>
      <c r="I12" s="1">
        <v>7</v>
      </c>
      <c r="J12" s="1">
        <v>22</v>
      </c>
      <c r="K12" s="1">
        <v>4</v>
      </c>
      <c r="L12" s="1">
        <v>117</v>
      </c>
      <c r="M12" s="1">
        <v>7</v>
      </c>
      <c r="N12" s="2">
        <v>5</v>
      </c>
      <c r="O12" s="7">
        <f t="shared" ca="1" si="0"/>
        <v>3</v>
      </c>
      <c r="P12" s="6" t="str">
        <f t="shared" ca="1" si="1"/>
        <v>No Bounes</v>
      </c>
      <c r="Q12" t="str">
        <f>TEXT(data[[#This Row],[Join_Date]],"mmmm")</f>
        <v>September</v>
      </c>
      <c r="R12" t="str">
        <f>TEXT(data[[#This Row],[Join_Date]],"yyyy")</f>
        <v>2023</v>
      </c>
    </row>
    <row r="13" spans="1:18">
      <c r="A13" s="8" t="s">
        <v>42</v>
      </c>
      <c r="B13" s="1" t="s">
        <v>38</v>
      </c>
      <c r="C13" s="1" t="s">
        <v>39</v>
      </c>
      <c r="D13" s="1" t="s">
        <v>28</v>
      </c>
      <c r="E13" s="5">
        <v>44914</v>
      </c>
      <c r="F13" s="1">
        <v>3.5</v>
      </c>
      <c r="G13" s="1">
        <v>57386.87</v>
      </c>
      <c r="H13" s="1">
        <v>5</v>
      </c>
      <c r="I13" s="1">
        <v>11</v>
      </c>
      <c r="J13" s="1">
        <v>39</v>
      </c>
      <c r="K13" s="1">
        <v>9</v>
      </c>
      <c r="L13" s="1">
        <v>112</v>
      </c>
      <c r="M13" s="1">
        <v>7</v>
      </c>
      <c r="N13" s="2">
        <v>4</v>
      </c>
      <c r="O13" s="7">
        <f t="shared" ca="1" si="0"/>
        <v>3</v>
      </c>
      <c r="P13" s="6" t="str">
        <f t="shared" ca="1" si="1"/>
        <v>No Bounes</v>
      </c>
      <c r="Q13" t="str">
        <f>TEXT(data[[#This Row],[Join_Date]],"mmmm")</f>
        <v>December</v>
      </c>
      <c r="R13" t="str">
        <f>TEXT(data[[#This Row],[Join_Date]],"yyyy")</f>
        <v>2022</v>
      </c>
    </row>
    <row r="14" spans="1:18">
      <c r="A14" s="8" t="s">
        <v>43</v>
      </c>
      <c r="B14" s="1" t="s">
        <v>38</v>
      </c>
      <c r="C14" s="1" t="s">
        <v>20</v>
      </c>
      <c r="D14" s="1" t="s">
        <v>28</v>
      </c>
      <c r="E14" s="5">
        <v>44705</v>
      </c>
      <c r="F14" s="1">
        <v>7.9</v>
      </c>
      <c r="G14" s="1">
        <v>107275.3</v>
      </c>
      <c r="H14" s="1">
        <v>5</v>
      </c>
      <c r="I14" s="1">
        <v>12</v>
      </c>
      <c r="J14" s="1">
        <v>62</v>
      </c>
      <c r="K14" s="1">
        <v>2</v>
      </c>
      <c r="L14" s="1">
        <v>68</v>
      </c>
      <c r="M14" s="1">
        <v>6</v>
      </c>
      <c r="N14" s="2">
        <v>5</v>
      </c>
      <c r="O14" s="7">
        <f t="shared" ca="1" si="0"/>
        <v>4</v>
      </c>
      <c r="P14" s="6" t="str">
        <f t="shared" ca="1" si="1"/>
        <v>No Bounes</v>
      </c>
      <c r="Q14" t="str">
        <f>TEXT(data[[#This Row],[Join_Date]],"mmmm")</f>
        <v>May</v>
      </c>
      <c r="R14" t="str">
        <f>TEXT(data[[#This Row],[Join_Date]],"yyyy")</f>
        <v>2022</v>
      </c>
    </row>
    <row r="15" spans="1:18">
      <c r="A15" s="8" t="s">
        <v>44</v>
      </c>
      <c r="B15" s="1" t="s">
        <v>30</v>
      </c>
      <c r="C15" s="1" t="s">
        <v>45</v>
      </c>
      <c r="D15" s="1" t="s">
        <v>31</v>
      </c>
      <c r="E15" s="5">
        <v>45089</v>
      </c>
      <c r="F15" s="1">
        <v>13.2</v>
      </c>
      <c r="G15" s="1">
        <v>180801.22</v>
      </c>
      <c r="H15" s="1">
        <v>2</v>
      </c>
      <c r="I15" s="1">
        <v>15</v>
      </c>
      <c r="J15" s="1">
        <v>32</v>
      </c>
      <c r="K15" s="1">
        <v>5</v>
      </c>
      <c r="L15" s="1">
        <v>132</v>
      </c>
      <c r="M15" s="1">
        <v>1</v>
      </c>
      <c r="N15" s="2">
        <v>6</v>
      </c>
      <c r="O15" s="7">
        <f t="shared" ca="1" si="0"/>
        <v>3</v>
      </c>
      <c r="P15" s="6" t="str">
        <f t="shared" ca="1" si="1"/>
        <v>No Bounes</v>
      </c>
      <c r="Q15" t="str">
        <f>TEXT(data[[#This Row],[Join_Date]],"mmmm")</f>
        <v>June</v>
      </c>
      <c r="R15" t="str">
        <f>TEXT(data[[#This Row],[Join_Date]],"yyyy")</f>
        <v>2023</v>
      </c>
    </row>
    <row r="16" spans="1:18">
      <c r="A16" s="8" t="s">
        <v>46</v>
      </c>
      <c r="B16" s="1" t="s">
        <v>30</v>
      </c>
      <c r="C16" s="1" t="s">
        <v>39</v>
      </c>
      <c r="D16" s="1" t="s">
        <v>21</v>
      </c>
      <c r="E16" s="5">
        <v>44316</v>
      </c>
      <c r="F16" s="1">
        <v>2.5</v>
      </c>
      <c r="G16" s="1">
        <v>47746.64</v>
      </c>
      <c r="H16" s="1">
        <v>1</v>
      </c>
      <c r="I16" s="1">
        <v>12</v>
      </c>
      <c r="J16" s="1">
        <v>57</v>
      </c>
      <c r="K16" s="1">
        <v>7</v>
      </c>
      <c r="L16" s="1">
        <v>132</v>
      </c>
      <c r="M16" s="1">
        <v>3</v>
      </c>
      <c r="N16" s="2">
        <v>9</v>
      </c>
      <c r="O16" s="7">
        <f t="shared" ca="1" si="0"/>
        <v>5</v>
      </c>
      <c r="P16" s="6" t="str">
        <f t="shared" ca="1" si="1"/>
        <v>No Bounes</v>
      </c>
      <c r="Q16" t="str">
        <f>TEXT(data[[#This Row],[Join_Date]],"mmmm")</f>
        <v>April</v>
      </c>
      <c r="R16" t="str">
        <f>TEXT(data[[#This Row],[Join_Date]],"yyyy")</f>
        <v>2021</v>
      </c>
    </row>
    <row r="17" spans="1:18">
      <c r="A17" s="8" t="s">
        <v>47</v>
      </c>
      <c r="B17" s="1" t="s">
        <v>30</v>
      </c>
      <c r="C17" s="1" t="s">
        <v>20</v>
      </c>
      <c r="D17" s="1" t="s">
        <v>28</v>
      </c>
      <c r="E17" s="5">
        <v>44809</v>
      </c>
      <c r="F17" s="1">
        <v>9.1</v>
      </c>
      <c r="G17" s="1">
        <v>121098.59</v>
      </c>
      <c r="H17" s="1">
        <v>5</v>
      </c>
      <c r="I17" s="1">
        <v>7</v>
      </c>
      <c r="J17" s="1">
        <v>47</v>
      </c>
      <c r="K17" s="1">
        <v>5</v>
      </c>
      <c r="L17" s="1">
        <v>60</v>
      </c>
      <c r="M17" s="1">
        <v>4</v>
      </c>
      <c r="N17" s="2">
        <v>2</v>
      </c>
      <c r="O17" s="7">
        <f t="shared" ca="1" si="0"/>
        <v>4</v>
      </c>
      <c r="P17" s="6" t="str">
        <f t="shared" ca="1" si="1"/>
        <v>No Bounes</v>
      </c>
      <c r="Q17" t="str">
        <f>TEXT(data[[#This Row],[Join_Date]],"mmmm")</f>
        <v>September</v>
      </c>
      <c r="R17" t="str">
        <f>TEXT(data[[#This Row],[Join_Date]],"yyyy")</f>
        <v>2022</v>
      </c>
    </row>
    <row r="18" spans="1:18">
      <c r="A18" s="8" t="s">
        <v>48</v>
      </c>
      <c r="B18" s="1" t="s">
        <v>49</v>
      </c>
      <c r="C18" s="1" t="s">
        <v>20</v>
      </c>
      <c r="D18" s="1" t="s">
        <v>28</v>
      </c>
      <c r="E18" s="5">
        <v>45259</v>
      </c>
      <c r="F18" s="1">
        <v>1.1000000000000001</v>
      </c>
      <c r="G18" s="1">
        <v>92346.11</v>
      </c>
      <c r="H18" s="1">
        <v>1</v>
      </c>
      <c r="I18" s="1">
        <v>14</v>
      </c>
      <c r="J18" s="1">
        <v>48</v>
      </c>
      <c r="K18" s="1">
        <v>5</v>
      </c>
      <c r="L18" s="1">
        <v>93</v>
      </c>
      <c r="M18" s="1">
        <v>10</v>
      </c>
      <c r="N18" s="2">
        <v>8</v>
      </c>
      <c r="O18" s="7">
        <f t="shared" ca="1" si="0"/>
        <v>2</v>
      </c>
      <c r="P18" s="6" t="str">
        <f t="shared" ca="1" si="1"/>
        <v>No Bounes</v>
      </c>
      <c r="Q18" t="str">
        <f>TEXT(data[[#This Row],[Join_Date]],"mmmm")</f>
        <v>November</v>
      </c>
      <c r="R18" t="str">
        <f>TEXT(data[[#This Row],[Join_Date]],"yyyy")</f>
        <v>2023</v>
      </c>
    </row>
    <row r="19" spans="1:18">
      <c r="A19" s="8" t="s">
        <v>50</v>
      </c>
      <c r="B19" s="1" t="s">
        <v>49</v>
      </c>
      <c r="C19" s="1" t="s">
        <v>20</v>
      </c>
      <c r="D19" s="1" t="s">
        <v>24</v>
      </c>
      <c r="E19" s="5">
        <v>44931</v>
      </c>
      <c r="F19" s="1">
        <v>1.6</v>
      </c>
      <c r="G19" s="1">
        <v>96599.7</v>
      </c>
      <c r="H19" s="1">
        <v>3</v>
      </c>
      <c r="I19" s="1">
        <v>6</v>
      </c>
      <c r="J19" s="1">
        <v>41</v>
      </c>
      <c r="K19" s="1">
        <v>5</v>
      </c>
      <c r="L19" s="1">
        <v>75</v>
      </c>
      <c r="M19" s="1">
        <v>5</v>
      </c>
      <c r="N19" s="2">
        <v>1</v>
      </c>
      <c r="O19" s="7">
        <f t="shared" ca="1" si="0"/>
        <v>3</v>
      </c>
      <c r="P19" s="6" t="str">
        <f t="shared" ca="1" si="1"/>
        <v>No Bounes</v>
      </c>
      <c r="Q19" t="str">
        <f>TEXT(data[[#This Row],[Join_Date]],"mmmm")</f>
        <v>January</v>
      </c>
      <c r="R19" t="str">
        <f>TEXT(data[[#This Row],[Join_Date]],"yyyy")</f>
        <v>2023</v>
      </c>
    </row>
    <row r="20" spans="1:18">
      <c r="A20" s="8" t="s">
        <v>51</v>
      </c>
      <c r="B20" s="1" t="s">
        <v>38</v>
      </c>
      <c r="C20" s="1" t="s">
        <v>45</v>
      </c>
      <c r="D20" s="1" t="s">
        <v>24</v>
      </c>
      <c r="E20" s="5">
        <v>44181</v>
      </c>
      <c r="F20" s="1">
        <v>11</v>
      </c>
      <c r="G20" s="1">
        <v>197829.96</v>
      </c>
      <c r="H20" s="1">
        <v>2</v>
      </c>
      <c r="I20" s="1">
        <v>13</v>
      </c>
      <c r="J20" s="1">
        <v>29</v>
      </c>
      <c r="K20" s="1">
        <v>0</v>
      </c>
      <c r="L20" s="1">
        <v>131</v>
      </c>
      <c r="M20" s="1">
        <v>3</v>
      </c>
      <c r="N20" s="2">
        <v>1</v>
      </c>
      <c r="O20" s="7">
        <f t="shared" ca="1" si="0"/>
        <v>5</v>
      </c>
      <c r="P20" s="6" t="str">
        <f t="shared" ca="1" si="1"/>
        <v>No Bounes</v>
      </c>
      <c r="Q20" t="str">
        <f>TEXT(data[[#This Row],[Join_Date]],"mmmm")</f>
        <v>December</v>
      </c>
      <c r="R20" t="str">
        <f>TEXT(data[[#This Row],[Join_Date]],"yyyy")</f>
        <v>2020</v>
      </c>
    </row>
    <row r="21" spans="1:18">
      <c r="A21" s="8" t="s">
        <v>52</v>
      </c>
      <c r="B21" s="1" t="s">
        <v>30</v>
      </c>
      <c r="C21" s="1" t="s">
        <v>27</v>
      </c>
      <c r="D21" s="1" t="s">
        <v>24</v>
      </c>
      <c r="E21" s="5">
        <v>43894</v>
      </c>
      <c r="F21" s="1">
        <v>14.6</v>
      </c>
      <c r="G21" s="1">
        <v>117057.45</v>
      </c>
      <c r="H21" s="1">
        <v>5</v>
      </c>
      <c r="I21" s="1">
        <v>8</v>
      </c>
      <c r="J21" s="1">
        <v>38</v>
      </c>
      <c r="K21" s="1">
        <v>3</v>
      </c>
      <c r="L21" s="1">
        <v>51</v>
      </c>
      <c r="M21" s="1">
        <v>5</v>
      </c>
      <c r="N21" s="2">
        <v>7</v>
      </c>
      <c r="O21" s="7">
        <f t="shared" ca="1" si="0"/>
        <v>6</v>
      </c>
      <c r="P21" s="6" t="str">
        <f t="shared" ca="1" si="1"/>
        <v>Get Bounes</v>
      </c>
      <c r="Q21" t="str">
        <f>TEXT(data[[#This Row],[Join_Date]],"mmmm")</f>
        <v>March</v>
      </c>
      <c r="R21" t="str">
        <f>TEXT(data[[#This Row],[Join_Date]],"yyyy")</f>
        <v>2020</v>
      </c>
    </row>
    <row r="22" spans="1:18">
      <c r="A22" s="8" t="s">
        <v>53</v>
      </c>
      <c r="B22" s="1" t="s">
        <v>38</v>
      </c>
      <c r="C22" s="1" t="s">
        <v>45</v>
      </c>
      <c r="D22" s="1" t="s">
        <v>24</v>
      </c>
      <c r="E22" s="5">
        <v>44529</v>
      </c>
      <c r="F22" s="1">
        <v>4.8</v>
      </c>
      <c r="G22" s="1">
        <v>135358.97</v>
      </c>
      <c r="H22" s="1">
        <v>5</v>
      </c>
      <c r="I22" s="1">
        <v>13</v>
      </c>
      <c r="J22" s="1">
        <v>33</v>
      </c>
      <c r="K22" s="1">
        <v>8</v>
      </c>
      <c r="L22" s="1">
        <v>124</v>
      </c>
      <c r="M22" s="1">
        <v>2</v>
      </c>
      <c r="N22" s="2">
        <v>9</v>
      </c>
      <c r="O22" s="7">
        <f t="shared" ca="1" si="0"/>
        <v>4</v>
      </c>
      <c r="P22" s="6" t="str">
        <f t="shared" ca="1" si="1"/>
        <v>No Bounes</v>
      </c>
      <c r="Q22" t="str">
        <f>TEXT(data[[#This Row],[Join_Date]],"mmmm")</f>
        <v>November</v>
      </c>
      <c r="R22" t="str">
        <f>TEXT(data[[#This Row],[Join_Date]],"yyyy")</f>
        <v>2021</v>
      </c>
    </row>
    <row r="23" spans="1:18">
      <c r="A23" s="8" t="s">
        <v>54</v>
      </c>
      <c r="B23" s="1" t="s">
        <v>19</v>
      </c>
      <c r="C23" s="1" t="s">
        <v>23</v>
      </c>
      <c r="D23" s="1" t="s">
        <v>21</v>
      </c>
      <c r="E23" s="5">
        <v>44442</v>
      </c>
      <c r="F23" s="1">
        <v>2.2000000000000002</v>
      </c>
      <c r="G23" s="1">
        <v>103311.48</v>
      </c>
      <c r="H23" s="1">
        <v>5</v>
      </c>
      <c r="I23" s="1">
        <v>9</v>
      </c>
      <c r="J23" s="1">
        <v>29</v>
      </c>
      <c r="K23" s="1">
        <v>3</v>
      </c>
      <c r="L23" s="1">
        <v>63</v>
      </c>
      <c r="M23" s="1">
        <v>10</v>
      </c>
      <c r="N23" s="2">
        <v>2</v>
      </c>
      <c r="O23" s="7">
        <f t="shared" ca="1" si="0"/>
        <v>5</v>
      </c>
      <c r="P23" s="6" t="str">
        <f t="shared" ca="1" si="1"/>
        <v>No Bounes</v>
      </c>
      <c r="Q23" t="str">
        <f>TEXT(data[[#This Row],[Join_Date]],"mmmm")</f>
        <v>September</v>
      </c>
      <c r="R23" t="str">
        <f>TEXT(data[[#This Row],[Join_Date]],"yyyy")</f>
        <v>2021</v>
      </c>
    </row>
    <row r="24" spans="1:18">
      <c r="A24" s="8" t="s">
        <v>55</v>
      </c>
      <c r="B24" s="1" t="s">
        <v>49</v>
      </c>
      <c r="C24" s="1" t="s">
        <v>45</v>
      </c>
      <c r="D24" s="1" t="s">
        <v>28</v>
      </c>
      <c r="E24" s="5">
        <v>45172</v>
      </c>
      <c r="F24" s="1">
        <v>6</v>
      </c>
      <c r="G24" s="1">
        <v>145410.35999999999</v>
      </c>
      <c r="H24" s="1">
        <v>5</v>
      </c>
      <c r="I24" s="1">
        <v>16</v>
      </c>
      <c r="J24" s="1">
        <v>41</v>
      </c>
      <c r="K24" s="1">
        <v>7</v>
      </c>
      <c r="L24" s="1">
        <v>61</v>
      </c>
      <c r="M24" s="1">
        <v>1</v>
      </c>
      <c r="N24" s="2">
        <v>7</v>
      </c>
      <c r="O24" s="7">
        <f t="shared" ca="1" si="0"/>
        <v>3</v>
      </c>
      <c r="P24" s="6" t="str">
        <f t="shared" ca="1" si="1"/>
        <v>No Bounes</v>
      </c>
      <c r="Q24" t="str">
        <f>TEXT(data[[#This Row],[Join_Date]],"mmmm")</f>
        <v>September</v>
      </c>
      <c r="R24" t="str">
        <f>TEXT(data[[#This Row],[Join_Date]],"yyyy")</f>
        <v>2023</v>
      </c>
    </row>
    <row r="25" spans="1:18">
      <c r="A25" s="8" t="s">
        <v>56</v>
      </c>
      <c r="B25" s="1" t="s">
        <v>19</v>
      </c>
      <c r="C25" s="1" t="s">
        <v>23</v>
      </c>
      <c r="D25" s="1" t="s">
        <v>31</v>
      </c>
      <c r="E25" s="5">
        <v>44164</v>
      </c>
      <c r="F25" s="1">
        <v>2.7</v>
      </c>
      <c r="G25" s="1">
        <v>120362.57</v>
      </c>
      <c r="H25" s="1">
        <v>3</v>
      </c>
      <c r="I25" s="1">
        <v>10</v>
      </c>
      <c r="J25" s="1">
        <v>51</v>
      </c>
      <c r="K25" s="1">
        <v>4</v>
      </c>
      <c r="L25" s="1">
        <v>130</v>
      </c>
      <c r="M25" s="1">
        <v>4</v>
      </c>
      <c r="N25" s="2">
        <v>2</v>
      </c>
      <c r="O25" s="7">
        <f t="shared" ca="1" si="0"/>
        <v>5</v>
      </c>
      <c r="P25" s="6" t="str">
        <f t="shared" ca="1" si="1"/>
        <v>No Bounes</v>
      </c>
      <c r="Q25" t="str">
        <f>TEXT(data[[#This Row],[Join_Date]],"mmmm")</f>
        <v>November</v>
      </c>
      <c r="R25" t="str">
        <f>TEXT(data[[#This Row],[Join_Date]],"yyyy")</f>
        <v>2020</v>
      </c>
    </row>
    <row r="26" spans="1:18">
      <c r="A26" s="8" t="s">
        <v>57</v>
      </c>
      <c r="B26" s="1" t="s">
        <v>38</v>
      </c>
      <c r="C26" s="1" t="s">
        <v>27</v>
      </c>
      <c r="D26" s="1" t="s">
        <v>36</v>
      </c>
      <c r="E26" s="5">
        <v>44500</v>
      </c>
      <c r="F26" s="1">
        <v>13.9</v>
      </c>
      <c r="G26" s="1">
        <v>111052.16</v>
      </c>
      <c r="H26" s="1">
        <v>5</v>
      </c>
      <c r="I26" s="1">
        <v>6</v>
      </c>
      <c r="J26" s="1">
        <v>26</v>
      </c>
      <c r="K26" s="1">
        <v>5</v>
      </c>
      <c r="L26" s="1">
        <v>88</v>
      </c>
      <c r="M26" s="1">
        <v>4</v>
      </c>
      <c r="N26" s="2">
        <v>9</v>
      </c>
      <c r="O26" s="7">
        <f t="shared" ca="1" si="0"/>
        <v>4</v>
      </c>
      <c r="P26" s="6" t="str">
        <f t="shared" ca="1" si="1"/>
        <v>No Bounes</v>
      </c>
      <c r="Q26" t="str">
        <f>TEXT(data[[#This Row],[Join_Date]],"mmmm")</f>
        <v>October</v>
      </c>
      <c r="R26" t="str">
        <f>TEXT(data[[#This Row],[Join_Date]],"yyyy")</f>
        <v>2021</v>
      </c>
    </row>
    <row r="27" spans="1:18">
      <c r="A27" s="8" t="s">
        <v>58</v>
      </c>
      <c r="B27" s="1" t="s">
        <v>59</v>
      </c>
      <c r="C27" s="1" t="s">
        <v>20</v>
      </c>
      <c r="D27" s="1" t="s">
        <v>36</v>
      </c>
      <c r="E27" s="5">
        <v>44209</v>
      </c>
      <c r="F27" s="1">
        <v>10.1</v>
      </c>
      <c r="G27" s="1">
        <v>125567.37</v>
      </c>
      <c r="H27" s="1">
        <v>4</v>
      </c>
      <c r="I27" s="1">
        <v>11</v>
      </c>
      <c r="J27" s="1">
        <v>20</v>
      </c>
      <c r="K27" s="1">
        <v>6</v>
      </c>
      <c r="L27" s="1">
        <v>177</v>
      </c>
      <c r="M27" s="1">
        <v>5</v>
      </c>
      <c r="N27" s="2">
        <v>5</v>
      </c>
      <c r="O27" s="7">
        <f t="shared" ca="1" si="0"/>
        <v>5</v>
      </c>
      <c r="P27" s="6" t="str">
        <f t="shared" ca="1" si="1"/>
        <v>No Bounes</v>
      </c>
      <c r="Q27" t="str">
        <f>TEXT(data[[#This Row],[Join_Date]],"mmmm")</f>
        <v>January</v>
      </c>
      <c r="R27" t="str">
        <f>TEXT(data[[#This Row],[Join_Date]],"yyyy")</f>
        <v>2021</v>
      </c>
    </row>
    <row r="28" spans="1:18">
      <c r="A28" s="8" t="s">
        <v>60</v>
      </c>
      <c r="B28" s="1" t="s">
        <v>38</v>
      </c>
      <c r="C28" s="1" t="s">
        <v>39</v>
      </c>
      <c r="D28" s="1" t="s">
        <v>36</v>
      </c>
      <c r="E28" s="5">
        <v>44336</v>
      </c>
      <c r="F28" s="1">
        <v>10.5</v>
      </c>
      <c r="G28" s="1">
        <v>69218.47</v>
      </c>
      <c r="H28" s="1">
        <v>4</v>
      </c>
      <c r="I28" s="1">
        <v>9</v>
      </c>
      <c r="J28" s="1">
        <v>40</v>
      </c>
      <c r="K28" s="1">
        <v>5</v>
      </c>
      <c r="L28" s="1">
        <v>44</v>
      </c>
      <c r="M28" s="1">
        <v>1</v>
      </c>
      <c r="N28" s="2">
        <v>4</v>
      </c>
      <c r="O28" s="7">
        <f t="shared" ca="1" si="0"/>
        <v>5</v>
      </c>
      <c r="P28" s="6" t="str">
        <f t="shared" ca="1" si="1"/>
        <v>No Bounes</v>
      </c>
      <c r="Q28" t="str">
        <f>TEXT(data[[#This Row],[Join_Date]],"mmmm")</f>
        <v>May</v>
      </c>
      <c r="R28" t="str">
        <f>TEXT(data[[#This Row],[Join_Date]],"yyyy")</f>
        <v>2021</v>
      </c>
    </row>
    <row r="29" spans="1:18">
      <c r="A29" s="8" t="s">
        <v>61</v>
      </c>
      <c r="B29" s="1" t="s">
        <v>30</v>
      </c>
      <c r="C29" s="1" t="s">
        <v>39</v>
      </c>
      <c r="D29" s="1" t="s">
        <v>24</v>
      </c>
      <c r="E29" s="5">
        <v>43978</v>
      </c>
      <c r="F29" s="1">
        <v>7.5</v>
      </c>
      <c r="G29" s="1">
        <v>56652.67</v>
      </c>
      <c r="H29" s="1">
        <v>4</v>
      </c>
      <c r="I29" s="1">
        <v>11</v>
      </c>
      <c r="J29" s="1">
        <v>23</v>
      </c>
      <c r="K29" s="1">
        <v>4</v>
      </c>
      <c r="L29" s="1">
        <v>137</v>
      </c>
      <c r="M29" s="1">
        <v>9</v>
      </c>
      <c r="N29" s="2">
        <v>9</v>
      </c>
      <c r="O29" s="7">
        <f t="shared" ca="1" si="0"/>
        <v>6</v>
      </c>
      <c r="P29" s="6" t="str">
        <f t="shared" ca="1" si="1"/>
        <v>No Bounes</v>
      </c>
      <c r="Q29" t="str">
        <f>TEXT(data[[#This Row],[Join_Date]],"mmmm")</f>
        <v>May</v>
      </c>
      <c r="R29" t="str">
        <f>TEXT(data[[#This Row],[Join_Date]],"yyyy")</f>
        <v>2020</v>
      </c>
    </row>
    <row r="30" spans="1:18">
      <c r="A30" s="8" t="s">
        <v>62</v>
      </c>
      <c r="B30" s="1" t="s">
        <v>49</v>
      </c>
      <c r="C30" s="1" t="s">
        <v>39</v>
      </c>
      <c r="D30" s="1" t="s">
        <v>36</v>
      </c>
      <c r="E30" s="5">
        <v>44421</v>
      </c>
      <c r="F30" s="1">
        <v>7.5</v>
      </c>
      <c r="G30" s="1">
        <v>62983.55</v>
      </c>
      <c r="H30" s="1">
        <v>3</v>
      </c>
      <c r="I30" s="1">
        <v>7</v>
      </c>
      <c r="J30" s="1">
        <v>45</v>
      </c>
      <c r="K30" s="1">
        <v>7</v>
      </c>
      <c r="L30" s="1">
        <v>108</v>
      </c>
      <c r="M30" s="1">
        <v>2</v>
      </c>
      <c r="N30" s="2">
        <v>2</v>
      </c>
      <c r="O30" s="7">
        <f t="shared" ca="1" si="0"/>
        <v>5</v>
      </c>
      <c r="P30" s="6" t="str">
        <f t="shared" ca="1" si="1"/>
        <v>No Bounes</v>
      </c>
      <c r="Q30" t="str">
        <f>TEXT(data[[#This Row],[Join_Date]],"mmmm")</f>
        <v>August</v>
      </c>
      <c r="R30" t="str">
        <f>TEXT(data[[#This Row],[Join_Date]],"yyyy")</f>
        <v>2021</v>
      </c>
    </row>
    <row r="31" spans="1:18">
      <c r="A31" s="8" t="s">
        <v>63</v>
      </c>
      <c r="B31" s="1" t="s">
        <v>19</v>
      </c>
      <c r="C31" s="1" t="s">
        <v>27</v>
      </c>
      <c r="D31" s="1" t="s">
        <v>36</v>
      </c>
      <c r="E31" s="5">
        <v>43839</v>
      </c>
      <c r="F31" s="1">
        <v>8.1999999999999993</v>
      </c>
      <c r="G31" s="1">
        <v>97985.48</v>
      </c>
      <c r="H31" s="1">
        <v>4</v>
      </c>
      <c r="I31" s="1">
        <v>5</v>
      </c>
      <c r="J31" s="1">
        <v>36</v>
      </c>
      <c r="K31" s="1">
        <v>8</v>
      </c>
      <c r="L31" s="1">
        <v>39</v>
      </c>
      <c r="M31" s="1">
        <v>9</v>
      </c>
      <c r="N31" s="2">
        <v>2</v>
      </c>
      <c r="O31" s="7">
        <f t="shared" ca="1" si="0"/>
        <v>6</v>
      </c>
      <c r="P31" s="6" t="str">
        <f t="shared" ca="1" si="1"/>
        <v>No Bounes</v>
      </c>
      <c r="Q31" t="str">
        <f>TEXT(data[[#This Row],[Join_Date]],"mmmm")</f>
        <v>January</v>
      </c>
      <c r="R31" t="str">
        <f>TEXT(data[[#This Row],[Join_Date]],"yyyy")</f>
        <v>2020</v>
      </c>
    </row>
    <row r="32" spans="1:18">
      <c r="A32" s="8" t="s">
        <v>64</v>
      </c>
      <c r="B32" s="1" t="s">
        <v>30</v>
      </c>
      <c r="C32" s="1" t="s">
        <v>39</v>
      </c>
      <c r="D32" s="1" t="s">
        <v>31</v>
      </c>
      <c r="E32" s="5">
        <v>44063</v>
      </c>
      <c r="F32" s="1">
        <v>2.2000000000000002</v>
      </c>
      <c r="G32" s="1">
        <v>53020.43</v>
      </c>
      <c r="H32" s="1">
        <v>1</v>
      </c>
      <c r="I32" s="1">
        <v>9</v>
      </c>
      <c r="J32" s="1">
        <v>34</v>
      </c>
      <c r="K32" s="1">
        <v>5</v>
      </c>
      <c r="L32" s="1">
        <v>122</v>
      </c>
      <c r="M32" s="1">
        <v>4</v>
      </c>
      <c r="N32" s="2">
        <v>10</v>
      </c>
      <c r="O32" s="7">
        <f t="shared" ca="1" si="0"/>
        <v>6</v>
      </c>
      <c r="P32" s="6" t="str">
        <f t="shared" ca="1" si="1"/>
        <v>No Bounes</v>
      </c>
      <c r="Q32" t="str">
        <f>TEXT(data[[#This Row],[Join_Date]],"mmmm")</f>
        <v>August</v>
      </c>
      <c r="R32" t="str">
        <f>TEXT(data[[#This Row],[Join_Date]],"yyyy")</f>
        <v>2020</v>
      </c>
    </row>
    <row r="33" spans="1:18">
      <c r="A33" s="8" t="s">
        <v>65</v>
      </c>
      <c r="B33" s="1" t="s">
        <v>49</v>
      </c>
      <c r="C33" s="1" t="s">
        <v>39</v>
      </c>
      <c r="D33" s="1" t="s">
        <v>36</v>
      </c>
      <c r="E33" s="5">
        <v>45144</v>
      </c>
      <c r="F33" s="1">
        <v>12.4</v>
      </c>
      <c r="G33" s="1">
        <v>75947.78</v>
      </c>
      <c r="H33" s="1">
        <v>3</v>
      </c>
      <c r="I33" s="1">
        <v>14</v>
      </c>
      <c r="J33" s="1">
        <v>37</v>
      </c>
      <c r="K33" s="1">
        <v>6</v>
      </c>
      <c r="L33" s="1">
        <v>114</v>
      </c>
      <c r="M33" s="1">
        <v>7</v>
      </c>
      <c r="N33" s="2">
        <v>4</v>
      </c>
      <c r="O33" s="7">
        <f t="shared" ca="1" si="0"/>
        <v>3</v>
      </c>
      <c r="P33" s="6" t="str">
        <f t="shared" ca="1" si="1"/>
        <v>No Bounes</v>
      </c>
      <c r="Q33" t="str">
        <f>TEXT(data[[#This Row],[Join_Date]],"mmmm")</f>
        <v>August</v>
      </c>
      <c r="R33" t="str">
        <f>TEXT(data[[#This Row],[Join_Date]],"yyyy")</f>
        <v>2023</v>
      </c>
    </row>
    <row r="34" spans="1:18">
      <c r="A34" s="8" t="s">
        <v>66</v>
      </c>
      <c r="B34" s="1" t="s">
        <v>26</v>
      </c>
      <c r="C34" s="1" t="s">
        <v>45</v>
      </c>
      <c r="D34" s="1" t="s">
        <v>24</v>
      </c>
      <c r="E34" s="5">
        <v>44635</v>
      </c>
      <c r="F34" s="1">
        <v>3.6</v>
      </c>
      <c r="G34" s="1">
        <v>149394.1</v>
      </c>
      <c r="H34" s="1">
        <v>1</v>
      </c>
      <c r="I34" s="1">
        <v>11</v>
      </c>
      <c r="J34" s="1">
        <v>34</v>
      </c>
      <c r="K34" s="1">
        <v>3</v>
      </c>
      <c r="L34" s="1">
        <v>66</v>
      </c>
      <c r="M34" s="1">
        <v>10</v>
      </c>
      <c r="N34" s="2">
        <v>10</v>
      </c>
      <c r="O34" s="7">
        <f t="shared" ca="1" si="0"/>
        <v>4</v>
      </c>
      <c r="P34" s="6" t="str">
        <f t="shared" ca="1" si="1"/>
        <v>No Bounes</v>
      </c>
      <c r="Q34" t="str">
        <f>TEXT(data[[#This Row],[Join_Date]],"mmmm")</f>
        <v>March</v>
      </c>
      <c r="R34" t="str">
        <f>TEXT(data[[#This Row],[Join_Date]],"yyyy")</f>
        <v>2022</v>
      </c>
    </row>
    <row r="35" spans="1:18">
      <c r="A35" s="8" t="s">
        <v>67</v>
      </c>
      <c r="B35" s="1" t="s">
        <v>26</v>
      </c>
      <c r="C35" s="1" t="s">
        <v>39</v>
      </c>
      <c r="D35" s="1" t="s">
        <v>28</v>
      </c>
      <c r="E35" s="5">
        <v>44136</v>
      </c>
      <c r="F35" s="1">
        <v>13.4</v>
      </c>
      <c r="G35" s="1">
        <v>75246.539999999994</v>
      </c>
      <c r="H35" s="1">
        <v>4</v>
      </c>
      <c r="I35" s="1">
        <v>7</v>
      </c>
      <c r="J35" s="1">
        <v>43</v>
      </c>
      <c r="K35" s="1">
        <v>6</v>
      </c>
      <c r="L35" s="1">
        <v>109</v>
      </c>
      <c r="M35" s="1">
        <v>6</v>
      </c>
      <c r="N35" s="2">
        <v>10</v>
      </c>
      <c r="O35" s="7">
        <f t="shared" ca="1" si="0"/>
        <v>5</v>
      </c>
      <c r="P35" s="6" t="str">
        <f t="shared" ca="1" si="1"/>
        <v>No Bounes</v>
      </c>
      <c r="Q35" t="str">
        <f>TEXT(data[[#This Row],[Join_Date]],"mmmm")</f>
        <v>November</v>
      </c>
      <c r="R35" t="str">
        <f>TEXT(data[[#This Row],[Join_Date]],"yyyy")</f>
        <v>2020</v>
      </c>
    </row>
    <row r="36" spans="1:18">
      <c r="A36" s="8" t="s">
        <v>68</v>
      </c>
      <c r="B36" s="1" t="s">
        <v>30</v>
      </c>
      <c r="C36" s="1" t="s">
        <v>39</v>
      </c>
      <c r="D36" s="1" t="s">
        <v>21</v>
      </c>
      <c r="E36" s="5">
        <v>44118</v>
      </c>
      <c r="F36" s="1">
        <v>4.3</v>
      </c>
      <c r="G36" s="1">
        <v>51094.78</v>
      </c>
      <c r="H36" s="1">
        <v>1</v>
      </c>
      <c r="I36" s="1">
        <v>8</v>
      </c>
      <c r="J36" s="1">
        <v>58</v>
      </c>
      <c r="K36" s="1">
        <v>8</v>
      </c>
      <c r="L36" s="1">
        <v>89</v>
      </c>
      <c r="M36" s="1">
        <v>10</v>
      </c>
      <c r="N36" s="2">
        <v>8</v>
      </c>
      <c r="O36" s="7">
        <f t="shared" ca="1" si="0"/>
        <v>6</v>
      </c>
      <c r="P36" s="6" t="str">
        <f t="shared" ca="1" si="1"/>
        <v>No Bounes</v>
      </c>
      <c r="Q36" t="str">
        <f>TEXT(data[[#This Row],[Join_Date]],"mmmm")</f>
        <v>October</v>
      </c>
      <c r="R36" t="str">
        <f>TEXT(data[[#This Row],[Join_Date]],"yyyy")</f>
        <v>2020</v>
      </c>
    </row>
    <row r="37" spans="1:18">
      <c r="A37" s="8" t="s">
        <v>69</v>
      </c>
      <c r="B37" s="1" t="s">
        <v>30</v>
      </c>
      <c r="C37" s="1" t="s">
        <v>39</v>
      </c>
      <c r="D37" s="1" t="s">
        <v>36</v>
      </c>
      <c r="E37" s="5">
        <v>43915</v>
      </c>
      <c r="F37" s="1">
        <v>13.4</v>
      </c>
      <c r="G37" s="1">
        <v>80450.67</v>
      </c>
      <c r="H37" s="1">
        <v>1</v>
      </c>
      <c r="I37" s="1">
        <v>7</v>
      </c>
      <c r="J37" s="1">
        <v>41</v>
      </c>
      <c r="K37" s="1">
        <v>7</v>
      </c>
      <c r="L37" s="1">
        <v>109</v>
      </c>
      <c r="M37" s="1">
        <v>10</v>
      </c>
      <c r="N37" s="2">
        <v>2</v>
      </c>
      <c r="O37" s="7">
        <f t="shared" ca="1" si="0"/>
        <v>6</v>
      </c>
      <c r="P37" s="6" t="str">
        <f t="shared" ca="1" si="1"/>
        <v>Get Bounes</v>
      </c>
      <c r="Q37" t="str">
        <f>TEXT(data[[#This Row],[Join_Date]],"mmmm")</f>
        <v>March</v>
      </c>
      <c r="R37" t="str">
        <f>TEXT(data[[#This Row],[Join_Date]],"yyyy")</f>
        <v>2020</v>
      </c>
    </row>
    <row r="38" spans="1:18">
      <c r="A38" s="8" t="s">
        <v>70</v>
      </c>
      <c r="B38" s="1" t="s">
        <v>26</v>
      </c>
      <c r="C38" s="1" t="s">
        <v>23</v>
      </c>
      <c r="D38" s="1" t="s">
        <v>21</v>
      </c>
      <c r="E38" s="5">
        <v>44095</v>
      </c>
      <c r="F38" s="1">
        <v>12.5</v>
      </c>
      <c r="G38" s="1">
        <v>174632.62</v>
      </c>
      <c r="H38" s="1">
        <v>4</v>
      </c>
      <c r="I38" s="1">
        <v>11</v>
      </c>
      <c r="J38" s="1">
        <v>37</v>
      </c>
      <c r="K38" s="1">
        <v>5</v>
      </c>
      <c r="L38" s="1">
        <v>146</v>
      </c>
      <c r="M38" s="1">
        <v>3</v>
      </c>
      <c r="N38" s="2">
        <v>4</v>
      </c>
      <c r="O38" s="7">
        <f t="shared" ca="1" si="0"/>
        <v>6</v>
      </c>
      <c r="P38" s="6" t="str">
        <f t="shared" ca="1" si="1"/>
        <v>Get Bounes</v>
      </c>
      <c r="Q38" t="str">
        <f>TEXT(data[[#This Row],[Join_Date]],"mmmm")</f>
        <v>September</v>
      </c>
      <c r="R38" t="str">
        <f>TEXT(data[[#This Row],[Join_Date]],"yyyy")</f>
        <v>2020</v>
      </c>
    </row>
    <row r="39" spans="1:18">
      <c r="A39" s="8" t="s">
        <v>71</v>
      </c>
      <c r="B39" s="1" t="s">
        <v>59</v>
      </c>
      <c r="C39" s="1" t="s">
        <v>20</v>
      </c>
      <c r="D39" s="1" t="s">
        <v>21</v>
      </c>
      <c r="E39" s="5">
        <v>44513</v>
      </c>
      <c r="F39" s="1">
        <v>2.2999999999999998</v>
      </c>
      <c r="G39" s="1">
        <v>87248.67</v>
      </c>
      <c r="H39" s="1">
        <v>2</v>
      </c>
      <c r="I39" s="1">
        <v>9</v>
      </c>
      <c r="J39" s="1">
        <v>41</v>
      </c>
      <c r="K39" s="1">
        <v>5</v>
      </c>
      <c r="L39" s="1">
        <v>108</v>
      </c>
      <c r="M39" s="1">
        <v>7</v>
      </c>
      <c r="N39" s="2">
        <v>10</v>
      </c>
      <c r="O39" s="7">
        <f t="shared" ca="1" si="0"/>
        <v>4</v>
      </c>
      <c r="P39" s="6" t="str">
        <f t="shared" ca="1" si="1"/>
        <v>No Bounes</v>
      </c>
      <c r="Q39" t="str">
        <f>TEXT(data[[#This Row],[Join_Date]],"mmmm")</f>
        <v>November</v>
      </c>
      <c r="R39" t="str">
        <f>TEXT(data[[#This Row],[Join_Date]],"yyyy")</f>
        <v>2021</v>
      </c>
    </row>
    <row r="40" spans="1:18">
      <c r="A40" s="8" t="s">
        <v>72</v>
      </c>
      <c r="B40" s="1" t="s">
        <v>49</v>
      </c>
      <c r="C40" s="1" t="s">
        <v>27</v>
      </c>
      <c r="D40" s="1" t="s">
        <v>36</v>
      </c>
      <c r="E40" s="5">
        <v>44833</v>
      </c>
      <c r="F40" s="1">
        <v>13</v>
      </c>
      <c r="G40" s="1">
        <v>97833.01</v>
      </c>
      <c r="H40" s="1">
        <v>5</v>
      </c>
      <c r="I40" s="1">
        <v>5</v>
      </c>
      <c r="J40" s="1">
        <v>21</v>
      </c>
      <c r="K40" s="1">
        <v>2</v>
      </c>
      <c r="L40" s="1">
        <v>105</v>
      </c>
      <c r="M40" s="1">
        <v>9</v>
      </c>
      <c r="N40" s="2">
        <v>10</v>
      </c>
      <c r="O40" s="7">
        <f t="shared" ca="1" si="0"/>
        <v>4</v>
      </c>
      <c r="P40" s="6" t="str">
        <f t="shared" ca="1" si="1"/>
        <v>No Bounes</v>
      </c>
      <c r="Q40" t="str">
        <f>TEXT(data[[#This Row],[Join_Date]],"mmmm")</f>
        <v>September</v>
      </c>
      <c r="R40" t="str">
        <f>TEXT(data[[#This Row],[Join_Date]],"yyyy")</f>
        <v>2022</v>
      </c>
    </row>
    <row r="41" spans="1:18">
      <c r="A41" s="8" t="s">
        <v>73</v>
      </c>
      <c r="B41" s="1" t="s">
        <v>26</v>
      </c>
      <c r="C41" s="1" t="s">
        <v>45</v>
      </c>
      <c r="D41" s="1" t="s">
        <v>24</v>
      </c>
      <c r="E41" s="5">
        <v>44883</v>
      </c>
      <c r="F41" s="1">
        <v>7.7</v>
      </c>
      <c r="G41" s="1">
        <v>153204.4</v>
      </c>
      <c r="H41" s="1">
        <v>3</v>
      </c>
      <c r="I41" s="1">
        <v>11</v>
      </c>
      <c r="J41" s="1">
        <v>34</v>
      </c>
      <c r="K41" s="1">
        <v>7</v>
      </c>
      <c r="L41" s="1">
        <v>95</v>
      </c>
      <c r="M41" s="1">
        <v>4</v>
      </c>
      <c r="N41" s="2">
        <v>5</v>
      </c>
      <c r="O41" s="7">
        <f t="shared" ca="1" si="0"/>
        <v>3</v>
      </c>
      <c r="P41" s="6" t="str">
        <f t="shared" ca="1" si="1"/>
        <v>No Bounes</v>
      </c>
      <c r="Q41" t="str">
        <f>TEXT(data[[#This Row],[Join_Date]],"mmmm")</f>
        <v>November</v>
      </c>
      <c r="R41" t="str">
        <f>TEXT(data[[#This Row],[Join_Date]],"yyyy")</f>
        <v>2022</v>
      </c>
    </row>
    <row r="42" spans="1:18">
      <c r="A42" s="8" t="s">
        <v>74</v>
      </c>
      <c r="B42" s="1" t="s">
        <v>38</v>
      </c>
      <c r="C42" s="1" t="s">
        <v>27</v>
      </c>
      <c r="D42" s="1" t="s">
        <v>28</v>
      </c>
      <c r="E42" s="5">
        <v>44964</v>
      </c>
      <c r="F42" s="1">
        <v>3.5</v>
      </c>
      <c r="G42" s="1">
        <v>71607.839999999997</v>
      </c>
      <c r="H42" s="1">
        <v>1</v>
      </c>
      <c r="I42" s="1">
        <v>10</v>
      </c>
      <c r="J42" s="1">
        <v>38</v>
      </c>
      <c r="K42" s="1">
        <v>5</v>
      </c>
      <c r="L42" s="1">
        <v>121</v>
      </c>
      <c r="M42" s="1">
        <v>9</v>
      </c>
      <c r="N42" s="2">
        <v>9</v>
      </c>
      <c r="O42" s="7">
        <f t="shared" ca="1" si="0"/>
        <v>3</v>
      </c>
      <c r="P42" s="6" t="str">
        <f t="shared" ca="1" si="1"/>
        <v>No Bounes</v>
      </c>
      <c r="Q42" t="str">
        <f>TEXT(data[[#This Row],[Join_Date]],"mmmm")</f>
        <v>February</v>
      </c>
      <c r="R42" t="str">
        <f>TEXT(data[[#This Row],[Join_Date]],"yyyy")</f>
        <v>2023</v>
      </c>
    </row>
    <row r="43" spans="1:18">
      <c r="A43" s="8" t="s">
        <v>75</v>
      </c>
      <c r="B43" s="1" t="s">
        <v>30</v>
      </c>
      <c r="C43" s="1" t="s">
        <v>27</v>
      </c>
      <c r="D43" s="1" t="s">
        <v>36</v>
      </c>
      <c r="E43" s="5">
        <v>44659</v>
      </c>
      <c r="F43" s="1">
        <v>2.8</v>
      </c>
      <c r="G43" s="1">
        <v>74802.210000000006</v>
      </c>
      <c r="H43" s="1">
        <v>5</v>
      </c>
      <c r="I43" s="1">
        <v>11</v>
      </c>
      <c r="J43" s="1">
        <v>31</v>
      </c>
      <c r="K43" s="1">
        <v>8</v>
      </c>
      <c r="L43" s="1">
        <v>67</v>
      </c>
      <c r="M43" s="1">
        <v>4</v>
      </c>
      <c r="N43" s="2">
        <v>2</v>
      </c>
      <c r="O43" s="7">
        <f t="shared" ca="1" si="0"/>
        <v>4</v>
      </c>
      <c r="P43" s="6" t="str">
        <f t="shared" ca="1" si="1"/>
        <v>No Bounes</v>
      </c>
      <c r="Q43" t="str">
        <f>TEXT(data[[#This Row],[Join_Date]],"mmmm")</f>
        <v>April</v>
      </c>
      <c r="R43" t="str">
        <f>TEXT(data[[#This Row],[Join_Date]],"yyyy")</f>
        <v>2022</v>
      </c>
    </row>
    <row r="44" spans="1:18">
      <c r="A44" s="8" t="s">
        <v>76</v>
      </c>
      <c r="B44" s="1" t="s">
        <v>59</v>
      </c>
      <c r="C44" s="1" t="s">
        <v>39</v>
      </c>
      <c r="D44" s="1" t="s">
        <v>28</v>
      </c>
      <c r="E44" s="5">
        <v>43962</v>
      </c>
      <c r="F44" s="1">
        <v>1.8</v>
      </c>
      <c r="G44" s="1">
        <v>51222.92</v>
      </c>
      <c r="H44" s="1">
        <v>1</v>
      </c>
      <c r="I44" s="1">
        <v>10</v>
      </c>
      <c r="J44" s="1">
        <v>37</v>
      </c>
      <c r="K44" s="1">
        <v>2</v>
      </c>
      <c r="L44" s="1">
        <v>97</v>
      </c>
      <c r="M44" s="1">
        <v>1</v>
      </c>
      <c r="N44" s="2">
        <v>9</v>
      </c>
      <c r="O44" s="7">
        <f t="shared" ca="1" si="0"/>
        <v>6</v>
      </c>
      <c r="P44" s="6" t="str">
        <f t="shared" ca="1" si="1"/>
        <v>No Bounes</v>
      </c>
      <c r="Q44" t="str">
        <f>TEXT(data[[#This Row],[Join_Date]],"mmmm")</f>
        <v>May</v>
      </c>
      <c r="R44" t="str">
        <f>TEXT(data[[#This Row],[Join_Date]],"yyyy")</f>
        <v>2020</v>
      </c>
    </row>
    <row r="45" spans="1:18">
      <c r="A45" s="8" t="s">
        <v>77</v>
      </c>
      <c r="B45" s="1" t="s">
        <v>59</v>
      </c>
      <c r="C45" s="1" t="s">
        <v>45</v>
      </c>
      <c r="D45" s="1" t="s">
        <v>36</v>
      </c>
      <c r="E45" s="5">
        <v>44584</v>
      </c>
      <c r="F45" s="1">
        <v>12.7</v>
      </c>
      <c r="G45" s="1">
        <v>176607.86</v>
      </c>
      <c r="H45" s="1">
        <v>2</v>
      </c>
      <c r="I45" s="1">
        <v>7</v>
      </c>
      <c r="J45" s="1">
        <v>40</v>
      </c>
      <c r="K45" s="1">
        <v>5</v>
      </c>
      <c r="L45" s="1">
        <v>144</v>
      </c>
      <c r="M45" s="1">
        <v>7</v>
      </c>
      <c r="N45" s="2">
        <v>2</v>
      </c>
      <c r="O45" s="7">
        <f t="shared" ca="1" si="0"/>
        <v>4</v>
      </c>
      <c r="P45" s="6" t="str">
        <f t="shared" ca="1" si="1"/>
        <v>No Bounes</v>
      </c>
      <c r="Q45" t="str">
        <f>TEXT(data[[#This Row],[Join_Date]],"mmmm")</f>
        <v>January</v>
      </c>
      <c r="R45" t="str">
        <f>TEXT(data[[#This Row],[Join_Date]],"yyyy")</f>
        <v>2022</v>
      </c>
    </row>
    <row r="46" spans="1:18">
      <c r="A46" s="8" t="s">
        <v>78</v>
      </c>
      <c r="B46" s="1" t="s">
        <v>38</v>
      </c>
      <c r="C46" s="1" t="s">
        <v>45</v>
      </c>
      <c r="D46" s="1" t="s">
        <v>21</v>
      </c>
      <c r="E46" s="5">
        <v>45199</v>
      </c>
      <c r="F46" s="1">
        <v>7.5</v>
      </c>
      <c r="G46" s="1">
        <v>165339.57</v>
      </c>
      <c r="H46" s="1">
        <v>3</v>
      </c>
      <c r="I46" s="1">
        <v>10</v>
      </c>
      <c r="J46" s="1">
        <v>33</v>
      </c>
      <c r="K46" s="1">
        <v>4</v>
      </c>
      <c r="L46" s="1">
        <v>104</v>
      </c>
      <c r="M46" s="1">
        <v>2</v>
      </c>
      <c r="N46" s="2">
        <v>7</v>
      </c>
      <c r="O46" s="7">
        <f t="shared" ca="1" si="0"/>
        <v>3</v>
      </c>
      <c r="P46" s="6" t="str">
        <f t="shared" ca="1" si="1"/>
        <v>No Bounes</v>
      </c>
      <c r="Q46" t="str">
        <f>TEXT(data[[#This Row],[Join_Date]],"mmmm")</f>
        <v>September</v>
      </c>
      <c r="R46" t="str">
        <f>TEXT(data[[#This Row],[Join_Date]],"yyyy")</f>
        <v>2023</v>
      </c>
    </row>
    <row r="47" spans="1:18">
      <c r="A47" s="8" t="s">
        <v>79</v>
      </c>
      <c r="B47" s="1" t="s">
        <v>59</v>
      </c>
      <c r="C47" s="1" t="s">
        <v>20</v>
      </c>
      <c r="D47" s="1" t="s">
        <v>36</v>
      </c>
      <c r="E47" s="5">
        <v>45180</v>
      </c>
      <c r="F47" s="1">
        <v>6.3</v>
      </c>
      <c r="G47" s="1">
        <v>117318.44</v>
      </c>
      <c r="H47" s="1">
        <v>1</v>
      </c>
      <c r="I47" s="1">
        <v>10</v>
      </c>
      <c r="J47" s="1">
        <v>54</v>
      </c>
      <c r="K47" s="1">
        <v>7</v>
      </c>
      <c r="L47" s="1">
        <v>89</v>
      </c>
      <c r="M47" s="1">
        <v>10</v>
      </c>
      <c r="N47" s="2">
        <v>10</v>
      </c>
      <c r="O47" s="7">
        <f t="shared" ca="1" si="0"/>
        <v>3</v>
      </c>
      <c r="P47" s="6" t="str">
        <f t="shared" ca="1" si="1"/>
        <v>No Bounes</v>
      </c>
      <c r="Q47" t="str">
        <f>TEXT(data[[#This Row],[Join_Date]],"mmmm")</f>
        <v>September</v>
      </c>
      <c r="R47" t="str">
        <f>TEXT(data[[#This Row],[Join_Date]],"yyyy")</f>
        <v>2023</v>
      </c>
    </row>
    <row r="48" spans="1:18">
      <c r="A48" s="8" t="s">
        <v>80</v>
      </c>
      <c r="B48" s="1" t="s">
        <v>26</v>
      </c>
      <c r="C48" s="1" t="s">
        <v>39</v>
      </c>
      <c r="D48" s="1" t="s">
        <v>31</v>
      </c>
      <c r="E48" s="5">
        <v>44013</v>
      </c>
      <c r="F48" s="1">
        <v>11.8</v>
      </c>
      <c r="G48" s="1">
        <v>74139.64</v>
      </c>
      <c r="H48" s="1">
        <v>5</v>
      </c>
      <c r="I48" s="1">
        <v>8</v>
      </c>
      <c r="J48" s="1">
        <v>14</v>
      </c>
      <c r="K48" s="1">
        <v>3</v>
      </c>
      <c r="L48" s="1">
        <v>70</v>
      </c>
      <c r="M48" s="1">
        <v>3</v>
      </c>
      <c r="N48" s="2">
        <v>1</v>
      </c>
      <c r="O48" s="7">
        <f t="shared" ca="1" si="0"/>
        <v>6</v>
      </c>
      <c r="P48" s="6" t="str">
        <f t="shared" ca="1" si="1"/>
        <v>Get Bounes</v>
      </c>
      <c r="Q48" t="str">
        <f>TEXT(data[[#This Row],[Join_Date]],"mmmm")</f>
        <v>July</v>
      </c>
      <c r="R48" t="str">
        <f>TEXT(data[[#This Row],[Join_Date]],"yyyy")</f>
        <v>2020</v>
      </c>
    </row>
    <row r="49" spans="1:18">
      <c r="A49" s="8" t="s">
        <v>81</v>
      </c>
      <c r="B49" s="1" t="s">
        <v>49</v>
      </c>
      <c r="C49" s="1" t="s">
        <v>27</v>
      </c>
      <c r="D49" s="1" t="s">
        <v>28</v>
      </c>
      <c r="E49" s="5">
        <v>44155</v>
      </c>
      <c r="F49" s="1">
        <v>6.8</v>
      </c>
      <c r="G49" s="1">
        <v>85944.95</v>
      </c>
      <c r="H49" s="1">
        <v>1</v>
      </c>
      <c r="I49" s="1">
        <v>8</v>
      </c>
      <c r="J49" s="1">
        <v>43</v>
      </c>
      <c r="K49" s="1">
        <v>5</v>
      </c>
      <c r="L49" s="1">
        <v>99</v>
      </c>
      <c r="M49" s="1">
        <v>10</v>
      </c>
      <c r="N49" s="2">
        <v>10</v>
      </c>
      <c r="O49" s="7">
        <f t="shared" ca="1" si="0"/>
        <v>5</v>
      </c>
      <c r="P49" s="6" t="str">
        <f t="shared" ca="1" si="1"/>
        <v>No Bounes</v>
      </c>
      <c r="Q49" t="str">
        <f>TEXT(data[[#This Row],[Join_Date]],"mmmm")</f>
        <v>November</v>
      </c>
      <c r="R49" t="str">
        <f>TEXT(data[[#This Row],[Join_Date]],"yyyy")</f>
        <v>2020</v>
      </c>
    </row>
    <row r="50" spans="1:18">
      <c r="A50" s="8" t="s">
        <v>82</v>
      </c>
      <c r="B50" s="1" t="s">
        <v>26</v>
      </c>
      <c r="C50" s="1" t="s">
        <v>45</v>
      </c>
      <c r="D50" s="1" t="s">
        <v>28</v>
      </c>
      <c r="E50" s="5">
        <v>44010</v>
      </c>
      <c r="F50" s="1">
        <v>2.1</v>
      </c>
      <c r="G50" s="1">
        <v>138187.88</v>
      </c>
      <c r="H50" s="1">
        <v>2</v>
      </c>
      <c r="I50" s="1">
        <v>10</v>
      </c>
      <c r="J50" s="1">
        <v>38</v>
      </c>
      <c r="K50" s="1">
        <v>5</v>
      </c>
      <c r="L50" s="1">
        <v>3</v>
      </c>
      <c r="M50" s="1">
        <v>1</v>
      </c>
      <c r="N50" s="2">
        <v>7</v>
      </c>
      <c r="O50" s="7">
        <f t="shared" ca="1" si="0"/>
        <v>6</v>
      </c>
      <c r="P50" s="6" t="str">
        <f t="shared" ca="1" si="1"/>
        <v>No Bounes</v>
      </c>
      <c r="Q50" t="str">
        <f>TEXT(data[[#This Row],[Join_Date]],"mmmm")</f>
        <v>June</v>
      </c>
      <c r="R50" t="str">
        <f>TEXT(data[[#This Row],[Join_Date]],"yyyy")</f>
        <v>2020</v>
      </c>
    </row>
    <row r="51" spans="1:18">
      <c r="A51" s="8" t="s">
        <v>83</v>
      </c>
      <c r="B51" s="1" t="s">
        <v>19</v>
      </c>
      <c r="C51" s="1" t="s">
        <v>20</v>
      </c>
      <c r="D51" s="1" t="s">
        <v>24</v>
      </c>
      <c r="E51" s="5">
        <v>44219</v>
      </c>
      <c r="F51" s="1">
        <v>2.4</v>
      </c>
      <c r="G51" s="1">
        <v>88630.97</v>
      </c>
      <c r="H51" s="1">
        <v>4</v>
      </c>
      <c r="I51" s="1">
        <v>9</v>
      </c>
      <c r="J51" s="1">
        <v>38</v>
      </c>
      <c r="K51" s="1">
        <v>4</v>
      </c>
      <c r="L51" s="1">
        <v>93</v>
      </c>
      <c r="M51" s="1">
        <v>8</v>
      </c>
      <c r="N51" s="2">
        <v>7</v>
      </c>
      <c r="O51" s="7">
        <f t="shared" ca="1" si="0"/>
        <v>5</v>
      </c>
      <c r="P51" s="6" t="str">
        <f t="shared" ca="1" si="1"/>
        <v>No Bounes</v>
      </c>
      <c r="Q51" t="str">
        <f>TEXT(data[[#This Row],[Join_Date]],"mmmm")</f>
        <v>January</v>
      </c>
      <c r="R51" t="str">
        <f>TEXT(data[[#This Row],[Join_Date]],"yyyy")</f>
        <v>2021</v>
      </c>
    </row>
    <row r="52" spans="1:18">
      <c r="A52" s="8" t="s">
        <v>84</v>
      </c>
      <c r="B52" s="1" t="s">
        <v>19</v>
      </c>
      <c r="C52" s="1" t="s">
        <v>45</v>
      </c>
      <c r="D52" s="1" t="s">
        <v>36</v>
      </c>
      <c r="E52" s="5">
        <v>43904</v>
      </c>
      <c r="F52" s="1">
        <v>10.199999999999999</v>
      </c>
      <c r="G52" s="1">
        <v>165414.59</v>
      </c>
      <c r="H52" s="1">
        <v>3</v>
      </c>
      <c r="I52" s="1">
        <v>12</v>
      </c>
      <c r="J52" s="1">
        <v>34</v>
      </c>
      <c r="K52" s="1">
        <v>9</v>
      </c>
      <c r="L52" s="1">
        <v>120</v>
      </c>
      <c r="M52" s="1">
        <v>3</v>
      </c>
      <c r="N52" s="2">
        <v>1</v>
      </c>
      <c r="O52" s="7">
        <f t="shared" ca="1" si="0"/>
        <v>6</v>
      </c>
      <c r="P52" s="6" t="str">
        <f t="shared" ca="1" si="1"/>
        <v>Get Bounes</v>
      </c>
      <c r="Q52" t="str">
        <f>TEXT(data[[#This Row],[Join_Date]],"mmmm")</f>
        <v>March</v>
      </c>
      <c r="R52" t="str">
        <f>TEXT(data[[#This Row],[Join_Date]],"yyyy")</f>
        <v>2020</v>
      </c>
    </row>
    <row r="53" spans="1:18">
      <c r="A53" s="8" t="s">
        <v>85</v>
      </c>
      <c r="B53" s="1" t="s">
        <v>38</v>
      </c>
      <c r="C53" s="1" t="s">
        <v>23</v>
      </c>
      <c r="D53" s="1" t="s">
        <v>24</v>
      </c>
      <c r="E53" s="5">
        <v>45054</v>
      </c>
      <c r="F53" s="1">
        <v>9.5</v>
      </c>
      <c r="G53" s="1">
        <v>153811.10999999999</v>
      </c>
      <c r="H53" s="1">
        <v>3</v>
      </c>
      <c r="I53" s="1">
        <v>9</v>
      </c>
      <c r="J53" s="1">
        <v>37</v>
      </c>
      <c r="K53" s="1">
        <v>4</v>
      </c>
      <c r="L53" s="1">
        <v>72</v>
      </c>
      <c r="M53" s="1">
        <v>9</v>
      </c>
      <c r="N53" s="2">
        <v>5</v>
      </c>
      <c r="O53" s="7">
        <f t="shared" ca="1" si="0"/>
        <v>3</v>
      </c>
      <c r="P53" s="6" t="str">
        <f t="shared" ca="1" si="1"/>
        <v>No Bounes</v>
      </c>
      <c r="Q53" t="str">
        <f>TEXT(data[[#This Row],[Join_Date]],"mmmm")</f>
        <v>May</v>
      </c>
      <c r="R53" t="str">
        <f>TEXT(data[[#This Row],[Join_Date]],"yyyy")</f>
        <v>2023</v>
      </c>
    </row>
    <row r="54" spans="1:18">
      <c r="A54" s="8" t="s">
        <v>86</v>
      </c>
      <c r="B54" s="1" t="s">
        <v>30</v>
      </c>
      <c r="C54" s="1" t="s">
        <v>20</v>
      </c>
      <c r="D54" s="1" t="s">
        <v>24</v>
      </c>
      <c r="E54" s="5">
        <v>44475</v>
      </c>
      <c r="F54" s="1">
        <v>4.8</v>
      </c>
      <c r="G54" s="1">
        <v>112811.61</v>
      </c>
      <c r="H54" s="1">
        <v>2</v>
      </c>
      <c r="I54" s="1">
        <v>9</v>
      </c>
      <c r="J54" s="1">
        <v>42</v>
      </c>
      <c r="K54" s="1">
        <v>6</v>
      </c>
      <c r="L54" s="1">
        <v>117</v>
      </c>
      <c r="M54" s="1">
        <v>7</v>
      </c>
      <c r="N54" s="2">
        <v>5</v>
      </c>
      <c r="O54" s="7">
        <f t="shared" ca="1" si="0"/>
        <v>5</v>
      </c>
      <c r="P54" s="6" t="str">
        <f t="shared" ca="1" si="1"/>
        <v>No Bounes</v>
      </c>
      <c r="Q54" t="str">
        <f>TEXT(data[[#This Row],[Join_Date]],"mmmm")</f>
        <v>October</v>
      </c>
      <c r="R54" t="str">
        <f>TEXT(data[[#This Row],[Join_Date]],"yyyy")</f>
        <v>2021</v>
      </c>
    </row>
    <row r="55" spans="1:18">
      <c r="A55" s="8" t="s">
        <v>87</v>
      </c>
      <c r="B55" s="1" t="s">
        <v>19</v>
      </c>
      <c r="C55" s="1" t="s">
        <v>45</v>
      </c>
      <c r="D55" s="1" t="s">
        <v>21</v>
      </c>
      <c r="E55" s="5">
        <v>44018</v>
      </c>
      <c r="F55" s="1">
        <v>14.6</v>
      </c>
      <c r="G55" s="1">
        <v>219383.35</v>
      </c>
      <c r="H55" s="1">
        <v>4</v>
      </c>
      <c r="I55" s="1">
        <v>9</v>
      </c>
      <c r="J55" s="1">
        <v>25</v>
      </c>
      <c r="K55" s="1">
        <v>3</v>
      </c>
      <c r="L55" s="1">
        <v>148</v>
      </c>
      <c r="M55" s="1">
        <v>7</v>
      </c>
      <c r="N55" s="2">
        <v>5</v>
      </c>
      <c r="O55" s="7">
        <f t="shared" ca="1" si="0"/>
        <v>6</v>
      </c>
      <c r="P55" s="6" t="str">
        <f t="shared" ca="1" si="1"/>
        <v>Get Bounes</v>
      </c>
      <c r="Q55" t="str">
        <f>TEXT(data[[#This Row],[Join_Date]],"mmmm")</f>
        <v>July</v>
      </c>
      <c r="R55" t="str">
        <f>TEXT(data[[#This Row],[Join_Date]],"yyyy")</f>
        <v>2020</v>
      </c>
    </row>
    <row r="56" spans="1:18">
      <c r="A56" s="8" t="s">
        <v>88</v>
      </c>
      <c r="B56" s="1" t="s">
        <v>59</v>
      </c>
      <c r="C56" s="1" t="s">
        <v>20</v>
      </c>
      <c r="D56" s="1" t="s">
        <v>31</v>
      </c>
      <c r="E56" s="5">
        <v>44070</v>
      </c>
      <c r="F56" s="1">
        <v>5.5</v>
      </c>
      <c r="G56" s="1">
        <v>98254.97</v>
      </c>
      <c r="H56" s="1">
        <v>3</v>
      </c>
      <c r="I56" s="1">
        <v>12</v>
      </c>
      <c r="J56" s="1">
        <v>43</v>
      </c>
      <c r="K56" s="1">
        <v>3</v>
      </c>
      <c r="L56" s="1">
        <v>100</v>
      </c>
      <c r="M56" s="1">
        <v>2</v>
      </c>
      <c r="N56" s="2">
        <v>3</v>
      </c>
      <c r="O56" s="7">
        <f t="shared" ca="1" si="0"/>
        <v>6</v>
      </c>
      <c r="P56" s="6" t="str">
        <f t="shared" ca="1" si="1"/>
        <v>No Bounes</v>
      </c>
      <c r="Q56" t="str">
        <f>TEXT(data[[#This Row],[Join_Date]],"mmmm")</f>
        <v>August</v>
      </c>
      <c r="R56" t="str">
        <f>TEXT(data[[#This Row],[Join_Date]],"yyyy")</f>
        <v>2020</v>
      </c>
    </row>
    <row r="57" spans="1:18">
      <c r="A57" s="8" t="s">
        <v>89</v>
      </c>
      <c r="B57" s="1" t="s">
        <v>19</v>
      </c>
      <c r="C57" s="1" t="s">
        <v>45</v>
      </c>
      <c r="D57" s="1" t="s">
        <v>36</v>
      </c>
      <c r="E57" s="5">
        <v>44374</v>
      </c>
      <c r="F57" s="1">
        <v>1</v>
      </c>
      <c r="G57" s="1">
        <v>128438.99</v>
      </c>
      <c r="H57" s="1">
        <v>1</v>
      </c>
      <c r="I57" s="1">
        <v>6</v>
      </c>
      <c r="J57" s="1">
        <v>34</v>
      </c>
      <c r="K57" s="1">
        <v>4</v>
      </c>
      <c r="L57" s="1">
        <v>89</v>
      </c>
      <c r="M57" s="1">
        <v>2</v>
      </c>
      <c r="N57" s="2">
        <v>2</v>
      </c>
      <c r="O57" s="7">
        <f t="shared" ca="1" si="0"/>
        <v>5</v>
      </c>
      <c r="P57" s="6" t="str">
        <f t="shared" ca="1" si="1"/>
        <v>No Bounes</v>
      </c>
      <c r="Q57" t="str">
        <f>TEXT(data[[#This Row],[Join_Date]],"mmmm")</f>
        <v>June</v>
      </c>
      <c r="R57" t="str">
        <f>TEXT(data[[#This Row],[Join_Date]],"yyyy")</f>
        <v>2021</v>
      </c>
    </row>
    <row r="58" spans="1:18">
      <c r="A58" s="8" t="s">
        <v>90</v>
      </c>
      <c r="B58" s="1" t="s">
        <v>30</v>
      </c>
      <c r="C58" s="1" t="s">
        <v>45</v>
      </c>
      <c r="D58" s="1" t="s">
        <v>28</v>
      </c>
      <c r="E58" s="5">
        <v>45178</v>
      </c>
      <c r="F58" s="1">
        <v>3.9</v>
      </c>
      <c r="G58" s="1">
        <v>155502.62</v>
      </c>
      <c r="H58" s="1">
        <v>4</v>
      </c>
      <c r="I58" s="1">
        <v>12</v>
      </c>
      <c r="J58" s="1">
        <v>25</v>
      </c>
      <c r="K58" s="1">
        <v>3</v>
      </c>
      <c r="L58" s="1">
        <v>58</v>
      </c>
      <c r="M58" s="1">
        <v>1</v>
      </c>
      <c r="N58" s="2">
        <v>5</v>
      </c>
      <c r="O58" s="7">
        <f t="shared" ca="1" si="0"/>
        <v>3</v>
      </c>
      <c r="P58" s="6" t="str">
        <f t="shared" ca="1" si="1"/>
        <v>No Bounes</v>
      </c>
      <c r="Q58" t="str">
        <f>TEXT(data[[#This Row],[Join_Date]],"mmmm")</f>
        <v>September</v>
      </c>
      <c r="R58" t="str">
        <f>TEXT(data[[#This Row],[Join_Date]],"yyyy")</f>
        <v>2023</v>
      </c>
    </row>
    <row r="59" spans="1:18">
      <c r="A59" s="8" t="s">
        <v>91</v>
      </c>
      <c r="B59" s="1" t="s">
        <v>38</v>
      </c>
      <c r="C59" s="1" t="s">
        <v>23</v>
      </c>
      <c r="D59" s="1" t="s">
        <v>28</v>
      </c>
      <c r="E59" s="5">
        <v>44835</v>
      </c>
      <c r="F59" s="1">
        <v>12.1</v>
      </c>
      <c r="G59" s="1">
        <v>175779.41</v>
      </c>
      <c r="H59" s="1">
        <v>3</v>
      </c>
      <c r="I59" s="1">
        <v>6</v>
      </c>
      <c r="J59" s="1">
        <v>41</v>
      </c>
      <c r="K59" s="1">
        <v>1</v>
      </c>
      <c r="L59" s="1">
        <v>122</v>
      </c>
      <c r="M59" s="1">
        <v>10</v>
      </c>
      <c r="N59" s="2">
        <v>3</v>
      </c>
      <c r="O59" s="7">
        <f t="shared" ca="1" si="0"/>
        <v>4</v>
      </c>
      <c r="P59" s="6" t="str">
        <f t="shared" ca="1" si="1"/>
        <v>No Bounes</v>
      </c>
      <c r="Q59" t="str">
        <f>TEXT(data[[#This Row],[Join_Date]],"mmmm")</f>
        <v>October</v>
      </c>
      <c r="R59" t="str">
        <f>TEXT(data[[#This Row],[Join_Date]],"yyyy")</f>
        <v>2022</v>
      </c>
    </row>
    <row r="60" spans="1:18">
      <c r="A60" s="8" t="s">
        <v>92</v>
      </c>
      <c r="B60" s="1" t="s">
        <v>26</v>
      </c>
      <c r="C60" s="1" t="s">
        <v>23</v>
      </c>
      <c r="D60" s="1" t="s">
        <v>28</v>
      </c>
      <c r="E60" s="5">
        <v>44066</v>
      </c>
      <c r="F60" s="1">
        <v>5</v>
      </c>
      <c r="G60" s="1">
        <v>123030.63</v>
      </c>
      <c r="H60" s="1">
        <v>3</v>
      </c>
      <c r="I60" s="1">
        <v>9</v>
      </c>
      <c r="J60" s="1">
        <v>40</v>
      </c>
      <c r="K60" s="1">
        <v>5</v>
      </c>
      <c r="L60" s="1">
        <v>86</v>
      </c>
      <c r="M60" s="1">
        <v>3</v>
      </c>
      <c r="N60" s="2">
        <v>7</v>
      </c>
      <c r="O60" s="7">
        <f t="shared" ca="1" si="0"/>
        <v>6</v>
      </c>
      <c r="P60" s="6" t="str">
        <f t="shared" ca="1" si="1"/>
        <v>No Bounes</v>
      </c>
      <c r="Q60" t="str">
        <f>TEXT(data[[#This Row],[Join_Date]],"mmmm")</f>
        <v>August</v>
      </c>
      <c r="R60" t="str">
        <f>TEXT(data[[#This Row],[Join_Date]],"yyyy")</f>
        <v>2020</v>
      </c>
    </row>
    <row r="61" spans="1:18">
      <c r="A61" s="8" t="s">
        <v>93</v>
      </c>
      <c r="B61" s="1" t="s">
        <v>38</v>
      </c>
      <c r="C61" s="1" t="s">
        <v>27</v>
      </c>
      <c r="D61" s="1" t="s">
        <v>21</v>
      </c>
      <c r="E61" s="5">
        <v>44209</v>
      </c>
      <c r="F61" s="1">
        <v>5.2</v>
      </c>
      <c r="G61" s="1">
        <v>80924.36</v>
      </c>
      <c r="H61" s="1">
        <v>1</v>
      </c>
      <c r="I61" s="1">
        <v>13</v>
      </c>
      <c r="J61" s="1">
        <v>38</v>
      </c>
      <c r="K61" s="1">
        <v>6</v>
      </c>
      <c r="L61" s="1">
        <v>94</v>
      </c>
      <c r="M61" s="1">
        <v>2</v>
      </c>
      <c r="N61" s="2">
        <v>1</v>
      </c>
      <c r="O61" s="7">
        <f t="shared" ca="1" si="0"/>
        <v>5</v>
      </c>
      <c r="P61" s="6" t="str">
        <f t="shared" ca="1" si="1"/>
        <v>No Bounes</v>
      </c>
      <c r="Q61" t="str">
        <f>TEXT(data[[#This Row],[Join_Date]],"mmmm")</f>
        <v>January</v>
      </c>
      <c r="R61" t="str">
        <f>TEXT(data[[#This Row],[Join_Date]],"yyyy")</f>
        <v>2021</v>
      </c>
    </row>
    <row r="62" spans="1:18">
      <c r="A62" s="8" t="s">
        <v>94</v>
      </c>
      <c r="B62" s="1" t="s">
        <v>59</v>
      </c>
      <c r="C62" s="1" t="s">
        <v>23</v>
      </c>
      <c r="D62" s="1" t="s">
        <v>36</v>
      </c>
      <c r="E62" s="5">
        <v>44389</v>
      </c>
      <c r="F62" s="1">
        <v>10.6</v>
      </c>
      <c r="G62" s="1">
        <v>162527.5</v>
      </c>
      <c r="H62" s="1">
        <v>4</v>
      </c>
      <c r="I62" s="1">
        <v>10</v>
      </c>
      <c r="J62" s="1">
        <v>42</v>
      </c>
      <c r="K62" s="1">
        <v>5</v>
      </c>
      <c r="L62" s="1">
        <v>70</v>
      </c>
      <c r="M62" s="1">
        <v>3</v>
      </c>
      <c r="N62" s="2">
        <v>9</v>
      </c>
      <c r="O62" s="7">
        <f t="shared" ca="1" si="0"/>
        <v>5</v>
      </c>
      <c r="P62" s="6" t="str">
        <f t="shared" ca="1" si="1"/>
        <v>No Bounes</v>
      </c>
      <c r="Q62" t="str">
        <f>TEXT(data[[#This Row],[Join_Date]],"mmmm")</f>
        <v>July</v>
      </c>
      <c r="R62" t="str">
        <f>TEXT(data[[#This Row],[Join_Date]],"yyyy")</f>
        <v>2021</v>
      </c>
    </row>
    <row r="63" spans="1:18">
      <c r="A63" s="8" t="s">
        <v>95</v>
      </c>
      <c r="B63" s="1" t="s">
        <v>19</v>
      </c>
      <c r="C63" s="1" t="s">
        <v>39</v>
      </c>
      <c r="D63" s="1" t="s">
        <v>31</v>
      </c>
      <c r="E63" s="5">
        <v>45070</v>
      </c>
      <c r="F63" s="1">
        <v>2.7</v>
      </c>
      <c r="G63" s="1">
        <v>52382.73</v>
      </c>
      <c r="H63" s="1">
        <v>2</v>
      </c>
      <c r="I63" s="1">
        <v>11</v>
      </c>
      <c r="J63" s="1">
        <v>36</v>
      </c>
      <c r="K63" s="1">
        <v>6</v>
      </c>
      <c r="L63" s="1">
        <v>35</v>
      </c>
      <c r="M63" s="1">
        <v>6</v>
      </c>
      <c r="N63" s="2">
        <v>9</v>
      </c>
      <c r="O63" s="7">
        <f t="shared" ca="1" si="0"/>
        <v>3</v>
      </c>
      <c r="P63" s="6" t="str">
        <f t="shared" ca="1" si="1"/>
        <v>No Bounes</v>
      </c>
      <c r="Q63" t="str">
        <f>TEXT(data[[#This Row],[Join_Date]],"mmmm")</f>
        <v>May</v>
      </c>
      <c r="R63" t="str">
        <f>TEXT(data[[#This Row],[Join_Date]],"yyyy")</f>
        <v>2023</v>
      </c>
    </row>
    <row r="64" spans="1:18">
      <c r="A64" s="8" t="s">
        <v>96</v>
      </c>
      <c r="B64" s="1" t="s">
        <v>59</v>
      </c>
      <c r="C64" s="1" t="s">
        <v>20</v>
      </c>
      <c r="D64" s="1" t="s">
        <v>36</v>
      </c>
      <c r="E64" s="5">
        <v>45258</v>
      </c>
      <c r="F64" s="1">
        <v>14.1</v>
      </c>
      <c r="G64" s="1">
        <v>137954.54</v>
      </c>
      <c r="H64" s="1">
        <v>2</v>
      </c>
      <c r="I64" s="1">
        <v>5</v>
      </c>
      <c r="J64" s="1">
        <v>43</v>
      </c>
      <c r="K64" s="1">
        <v>8</v>
      </c>
      <c r="L64" s="1">
        <v>125</v>
      </c>
      <c r="M64" s="1">
        <v>5</v>
      </c>
      <c r="N64" s="2">
        <v>1</v>
      </c>
      <c r="O64" s="7">
        <f t="shared" ca="1" si="0"/>
        <v>2</v>
      </c>
      <c r="P64" s="6" t="str">
        <f t="shared" ca="1" si="1"/>
        <v>No Bounes</v>
      </c>
      <c r="Q64" t="str">
        <f>TEXT(data[[#This Row],[Join_Date]],"mmmm")</f>
        <v>November</v>
      </c>
      <c r="R64" t="str">
        <f>TEXT(data[[#This Row],[Join_Date]],"yyyy")</f>
        <v>2023</v>
      </c>
    </row>
    <row r="65" spans="1:18">
      <c r="A65" s="8" t="s">
        <v>97</v>
      </c>
      <c r="B65" s="1" t="s">
        <v>49</v>
      </c>
      <c r="C65" s="1" t="s">
        <v>45</v>
      </c>
      <c r="D65" s="1" t="s">
        <v>24</v>
      </c>
      <c r="E65" s="5">
        <v>43929</v>
      </c>
      <c r="F65" s="1">
        <v>13.3</v>
      </c>
      <c r="G65" s="1">
        <v>195979.48</v>
      </c>
      <c r="H65" s="1">
        <v>1</v>
      </c>
      <c r="I65" s="1">
        <v>7</v>
      </c>
      <c r="J65" s="1">
        <v>23</v>
      </c>
      <c r="K65" s="1">
        <v>6</v>
      </c>
      <c r="L65" s="1">
        <v>97</v>
      </c>
      <c r="M65" s="1">
        <v>10</v>
      </c>
      <c r="N65" s="2">
        <v>1</v>
      </c>
      <c r="O65" s="7">
        <f t="shared" ca="1" si="0"/>
        <v>6</v>
      </c>
      <c r="P65" s="6" t="str">
        <f t="shared" ca="1" si="1"/>
        <v>Get Bounes</v>
      </c>
      <c r="Q65" t="str">
        <f>TEXT(data[[#This Row],[Join_Date]],"mmmm")</f>
        <v>April</v>
      </c>
      <c r="R65" t="str">
        <f>TEXT(data[[#This Row],[Join_Date]],"yyyy")</f>
        <v>2020</v>
      </c>
    </row>
    <row r="66" spans="1:18">
      <c r="A66" s="8" t="s">
        <v>98</v>
      </c>
      <c r="B66" s="1" t="s">
        <v>26</v>
      </c>
      <c r="C66" s="1" t="s">
        <v>23</v>
      </c>
      <c r="D66" s="1" t="s">
        <v>36</v>
      </c>
      <c r="E66" s="5">
        <v>45180</v>
      </c>
      <c r="F66" s="1">
        <v>12.1</v>
      </c>
      <c r="G66" s="1">
        <v>171086.1</v>
      </c>
      <c r="H66" s="1">
        <v>1</v>
      </c>
      <c r="I66" s="1">
        <v>11</v>
      </c>
      <c r="J66" s="1">
        <v>41</v>
      </c>
      <c r="K66" s="1">
        <v>5</v>
      </c>
      <c r="L66" s="1">
        <v>188</v>
      </c>
      <c r="M66" s="1">
        <v>6</v>
      </c>
      <c r="N66" s="2">
        <v>8</v>
      </c>
      <c r="O66" s="7">
        <f t="shared" ca="1" si="0"/>
        <v>3</v>
      </c>
      <c r="P66" s="6" t="str">
        <f t="shared" ca="1" si="1"/>
        <v>No Bounes</v>
      </c>
      <c r="Q66" t="str">
        <f>TEXT(data[[#This Row],[Join_Date]],"mmmm")</f>
        <v>September</v>
      </c>
      <c r="R66" t="str">
        <f>TEXT(data[[#This Row],[Join_Date]],"yyyy")</f>
        <v>2023</v>
      </c>
    </row>
    <row r="67" spans="1:18">
      <c r="A67" s="8" t="s">
        <v>99</v>
      </c>
      <c r="B67" s="1" t="s">
        <v>38</v>
      </c>
      <c r="C67" s="1" t="s">
        <v>39</v>
      </c>
      <c r="D67" s="1" t="s">
        <v>21</v>
      </c>
      <c r="E67" s="5">
        <v>44151</v>
      </c>
      <c r="F67" s="1">
        <v>9.8000000000000007</v>
      </c>
      <c r="G67" s="1">
        <v>60702.239999999998</v>
      </c>
      <c r="H67" s="1">
        <v>4</v>
      </c>
      <c r="I67" s="1">
        <v>9</v>
      </c>
      <c r="J67" s="1">
        <v>38</v>
      </c>
      <c r="K67" s="1">
        <v>4</v>
      </c>
      <c r="L67" s="1">
        <v>82</v>
      </c>
      <c r="M67" s="1">
        <v>6</v>
      </c>
      <c r="N67" s="2">
        <v>6</v>
      </c>
      <c r="O67" s="7">
        <f t="shared" ref="O67:O130" ca="1" si="2">DATEDIF(E67,TODAY(),"y")</f>
        <v>5</v>
      </c>
      <c r="P67" s="6" t="str">
        <f t="shared" ref="P67:P130" ca="1" si="3">IF(AND(O67&gt;5,F67&gt;10),"Get Bounes","No Bounes")</f>
        <v>No Bounes</v>
      </c>
      <c r="Q67" t="str">
        <f>TEXT(data[[#This Row],[Join_Date]],"mmmm")</f>
        <v>November</v>
      </c>
      <c r="R67" t="str">
        <f>TEXT(data[[#This Row],[Join_Date]],"yyyy")</f>
        <v>2020</v>
      </c>
    </row>
    <row r="68" spans="1:18">
      <c r="A68" s="8" t="s">
        <v>100</v>
      </c>
      <c r="B68" s="1" t="s">
        <v>38</v>
      </c>
      <c r="C68" s="1" t="s">
        <v>23</v>
      </c>
      <c r="D68" s="1" t="s">
        <v>31</v>
      </c>
      <c r="E68" s="5">
        <v>44581</v>
      </c>
      <c r="F68" s="1">
        <v>1.1000000000000001</v>
      </c>
      <c r="G68" s="1">
        <v>101359.25</v>
      </c>
      <c r="H68" s="1">
        <v>2</v>
      </c>
      <c r="I68" s="1">
        <v>12</v>
      </c>
      <c r="J68" s="1">
        <v>36</v>
      </c>
      <c r="K68" s="1">
        <v>6</v>
      </c>
      <c r="L68" s="1">
        <v>108</v>
      </c>
      <c r="M68" s="1">
        <v>1</v>
      </c>
      <c r="N68" s="2">
        <v>7</v>
      </c>
      <c r="O68" s="7">
        <f t="shared" ca="1" si="2"/>
        <v>4</v>
      </c>
      <c r="P68" s="6" t="str">
        <f t="shared" ca="1" si="3"/>
        <v>No Bounes</v>
      </c>
      <c r="Q68" t="str">
        <f>TEXT(data[[#This Row],[Join_Date]],"mmmm")</f>
        <v>January</v>
      </c>
      <c r="R68" t="str">
        <f>TEXT(data[[#This Row],[Join_Date]],"yyyy")</f>
        <v>2022</v>
      </c>
    </row>
    <row r="69" spans="1:18">
      <c r="A69" s="8" t="s">
        <v>101</v>
      </c>
      <c r="B69" s="1" t="s">
        <v>30</v>
      </c>
      <c r="C69" s="1" t="s">
        <v>20</v>
      </c>
      <c r="D69" s="1" t="s">
        <v>28</v>
      </c>
      <c r="E69" s="5">
        <v>44793</v>
      </c>
      <c r="F69" s="1">
        <v>10.9</v>
      </c>
      <c r="G69" s="1">
        <v>126393.68</v>
      </c>
      <c r="H69" s="1">
        <v>3</v>
      </c>
      <c r="I69" s="1">
        <v>13</v>
      </c>
      <c r="J69" s="1">
        <v>44</v>
      </c>
      <c r="K69" s="1">
        <v>2</v>
      </c>
      <c r="L69" s="1">
        <v>60</v>
      </c>
      <c r="M69" s="1">
        <v>8</v>
      </c>
      <c r="N69" s="2">
        <v>3</v>
      </c>
      <c r="O69" s="7">
        <f t="shared" ca="1" si="2"/>
        <v>4</v>
      </c>
      <c r="P69" s="6" t="str">
        <f t="shared" ca="1" si="3"/>
        <v>No Bounes</v>
      </c>
      <c r="Q69" t="str">
        <f>TEXT(data[[#This Row],[Join_Date]],"mmmm")</f>
        <v>August</v>
      </c>
      <c r="R69" t="str">
        <f>TEXT(data[[#This Row],[Join_Date]],"yyyy")</f>
        <v>2022</v>
      </c>
    </row>
    <row r="70" spans="1:18">
      <c r="A70" s="8" t="s">
        <v>102</v>
      </c>
      <c r="B70" s="1" t="s">
        <v>49</v>
      </c>
      <c r="C70" s="1" t="s">
        <v>45</v>
      </c>
      <c r="D70" s="1" t="s">
        <v>28</v>
      </c>
      <c r="E70" s="5">
        <v>45106</v>
      </c>
      <c r="F70" s="1">
        <v>5</v>
      </c>
      <c r="G70" s="1">
        <v>163438.23000000001</v>
      </c>
      <c r="H70" s="1">
        <v>2</v>
      </c>
      <c r="I70" s="1">
        <v>14</v>
      </c>
      <c r="J70" s="1">
        <v>33</v>
      </c>
      <c r="K70" s="1">
        <v>2</v>
      </c>
      <c r="L70" s="1">
        <v>79</v>
      </c>
      <c r="M70" s="1">
        <v>9</v>
      </c>
      <c r="N70" s="2">
        <v>5</v>
      </c>
      <c r="O70" s="7">
        <f t="shared" ca="1" si="2"/>
        <v>3</v>
      </c>
      <c r="P70" s="6" t="str">
        <f t="shared" ca="1" si="3"/>
        <v>No Bounes</v>
      </c>
      <c r="Q70" t="str">
        <f>TEXT(data[[#This Row],[Join_Date]],"mmmm")</f>
        <v>June</v>
      </c>
      <c r="R70" t="str">
        <f>TEXT(data[[#This Row],[Join_Date]],"yyyy")</f>
        <v>2023</v>
      </c>
    </row>
    <row r="71" spans="1:18">
      <c r="A71" s="8" t="s">
        <v>103</v>
      </c>
      <c r="B71" s="1" t="s">
        <v>59</v>
      </c>
      <c r="C71" s="1" t="s">
        <v>23</v>
      </c>
      <c r="D71" s="1" t="s">
        <v>31</v>
      </c>
      <c r="E71" s="5">
        <v>44197</v>
      </c>
      <c r="F71" s="1">
        <v>3.4</v>
      </c>
      <c r="G71" s="1">
        <v>116973.18</v>
      </c>
      <c r="H71" s="1">
        <v>1</v>
      </c>
      <c r="I71" s="1">
        <v>13</v>
      </c>
      <c r="J71" s="1">
        <v>25</v>
      </c>
      <c r="K71" s="1">
        <v>3</v>
      </c>
      <c r="L71" s="1">
        <v>79</v>
      </c>
      <c r="M71" s="1">
        <v>4</v>
      </c>
      <c r="N71" s="2">
        <v>8</v>
      </c>
      <c r="O71" s="7">
        <f t="shared" ca="1" si="2"/>
        <v>5</v>
      </c>
      <c r="P71" s="6" t="str">
        <f t="shared" ca="1" si="3"/>
        <v>No Bounes</v>
      </c>
      <c r="Q71" t="str">
        <f>TEXT(data[[#This Row],[Join_Date]],"mmmm")</f>
        <v>January</v>
      </c>
      <c r="R71" t="str">
        <f>TEXT(data[[#This Row],[Join_Date]],"yyyy")</f>
        <v>2021</v>
      </c>
    </row>
    <row r="72" spans="1:18">
      <c r="A72" s="8" t="s">
        <v>104</v>
      </c>
      <c r="B72" s="1" t="s">
        <v>49</v>
      </c>
      <c r="C72" s="1" t="s">
        <v>20</v>
      </c>
      <c r="D72" s="1" t="s">
        <v>21</v>
      </c>
      <c r="E72" s="5">
        <v>44600</v>
      </c>
      <c r="F72" s="1">
        <v>13.1</v>
      </c>
      <c r="G72" s="1">
        <v>128095.87</v>
      </c>
      <c r="H72" s="1">
        <v>2</v>
      </c>
      <c r="I72" s="1">
        <v>6</v>
      </c>
      <c r="J72" s="1">
        <v>28</v>
      </c>
      <c r="K72" s="1">
        <v>1</v>
      </c>
      <c r="L72" s="1">
        <v>86</v>
      </c>
      <c r="M72" s="1">
        <v>4</v>
      </c>
      <c r="N72" s="2">
        <v>1</v>
      </c>
      <c r="O72" s="7">
        <f t="shared" ca="1" si="2"/>
        <v>4</v>
      </c>
      <c r="P72" s="6" t="str">
        <f t="shared" ca="1" si="3"/>
        <v>No Bounes</v>
      </c>
      <c r="Q72" t="str">
        <f>TEXT(data[[#This Row],[Join_Date]],"mmmm")</f>
        <v>February</v>
      </c>
      <c r="R72" t="str">
        <f>TEXT(data[[#This Row],[Join_Date]],"yyyy")</f>
        <v>2022</v>
      </c>
    </row>
    <row r="73" spans="1:18">
      <c r="A73" s="8" t="s">
        <v>105</v>
      </c>
      <c r="B73" s="1" t="s">
        <v>59</v>
      </c>
      <c r="C73" s="1" t="s">
        <v>27</v>
      </c>
      <c r="D73" s="1" t="s">
        <v>21</v>
      </c>
      <c r="E73" s="5">
        <v>44659</v>
      </c>
      <c r="F73" s="1">
        <v>5.5</v>
      </c>
      <c r="G73" s="1">
        <v>88788.9</v>
      </c>
      <c r="H73" s="1">
        <v>2</v>
      </c>
      <c r="I73" s="1">
        <v>8</v>
      </c>
      <c r="J73" s="1">
        <v>33</v>
      </c>
      <c r="K73" s="1">
        <v>1</v>
      </c>
      <c r="L73" s="1">
        <v>137</v>
      </c>
      <c r="M73" s="1">
        <v>5</v>
      </c>
      <c r="N73" s="2">
        <v>3</v>
      </c>
      <c r="O73" s="7">
        <f t="shared" ca="1" si="2"/>
        <v>4</v>
      </c>
      <c r="P73" s="6" t="str">
        <f t="shared" ca="1" si="3"/>
        <v>No Bounes</v>
      </c>
      <c r="Q73" t="str">
        <f>TEXT(data[[#This Row],[Join_Date]],"mmmm")</f>
        <v>April</v>
      </c>
      <c r="R73" t="str">
        <f>TEXT(data[[#This Row],[Join_Date]],"yyyy")</f>
        <v>2022</v>
      </c>
    </row>
    <row r="74" spans="1:18">
      <c r="A74" s="8" t="s">
        <v>106</v>
      </c>
      <c r="B74" s="1" t="s">
        <v>19</v>
      </c>
      <c r="C74" s="1" t="s">
        <v>27</v>
      </c>
      <c r="D74" s="1" t="s">
        <v>31</v>
      </c>
      <c r="E74" s="5">
        <v>45093</v>
      </c>
      <c r="F74" s="1">
        <v>10.6</v>
      </c>
      <c r="G74" s="1">
        <v>90120.81</v>
      </c>
      <c r="H74" s="1">
        <v>1</v>
      </c>
      <c r="I74" s="1">
        <v>6</v>
      </c>
      <c r="J74" s="1">
        <v>42</v>
      </c>
      <c r="K74" s="1">
        <v>2</v>
      </c>
      <c r="L74" s="1">
        <v>120</v>
      </c>
      <c r="M74" s="1">
        <v>1</v>
      </c>
      <c r="N74" s="2">
        <v>6</v>
      </c>
      <c r="O74" s="7">
        <f t="shared" ca="1" si="2"/>
        <v>3</v>
      </c>
      <c r="P74" s="6" t="str">
        <f t="shared" ca="1" si="3"/>
        <v>No Bounes</v>
      </c>
      <c r="Q74" t="str">
        <f>TEXT(data[[#This Row],[Join_Date]],"mmmm")</f>
        <v>June</v>
      </c>
      <c r="R74" t="str">
        <f>TEXT(data[[#This Row],[Join_Date]],"yyyy")</f>
        <v>2023</v>
      </c>
    </row>
    <row r="75" spans="1:18">
      <c r="A75" s="8" t="s">
        <v>107</v>
      </c>
      <c r="B75" s="1" t="s">
        <v>38</v>
      </c>
      <c r="C75" s="1" t="s">
        <v>20</v>
      </c>
      <c r="D75" s="1" t="s">
        <v>24</v>
      </c>
      <c r="E75" s="5">
        <v>44161</v>
      </c>
      <c r="F75" s="1">
        <v>13.9</v>
      </c>
      <c r="G75" s="1">
        <v>130809.77</v>
      </c>
      <c r="H75" s="1">
        <v>1</v>
      </c>
      <c r="I75" s="1">
        <v>12</v>
      </c>
      <c r="J75" s="1">
        <v>31</v>
      </c>
      <c r="K75" s="1">
        <v>1</v>
      </c>
      <c r="L75" s="1">
        <v>120</v>
      </c>
      <c r="M75" s="1">
        <v>10</v>
      </c>
      <c r="N75" s="2">
        <v>6</v>
      </c>
      <c r="O75" s="7">
        <f t="shared" ca="1" si="2"/>
        <v>5</v>
      </c>
      <c r="P75" s="6" t="str">
        <f t="shared" ca="1" si="3"/>
        <v>No Bounes</v>
      </c>
      <c r="Q75" t="str">
        <f>TEXT(data[[#This Row],[Join_Date]],"mmmm")</f>
        <v>November</v>
      </c>
      <c r="R75" t="str">
        <f>TEXT(data[[#This Row],[Join_Date]],"yyyy")</f>
        <v>2020</v>
      </c>
    </row>
    <row r="76" spans="1:18">
      <c r="A76" s="8" t="s">
        <v>108</v>
      </c>
      <c r="B76" s="1" t="s">
        <v>26</v>
      </c>
      <c r="C76" s="1" t="s">
        <v>45</v>
      </c>
      <c r="D76" s="1" t="s">
        <v>24</v>
      </c>
      <c r="E76" s="5">
        <v>44588</v>
      </c>
      <c r="F76" s="1">
        <v>10.1</v>
      </c>
      <c r="G76" s="1">
        <v>187645.18</v>
      </c>
      <c r="H76" s="1">
        <v>5</v>
      </c>
      <c r="I76" s="1">
        <v>15</v>
      </c>
      <c r="J76" s="1">
        <v>44</v>
      </c>
      <c r="K76" s="1">
        <v>5</v>
      </c>
      <c r="L76" s="1">
        <v>124</v>
      </c>
      <c r="M76" s="1">
        <v>3</v>
      </c>
      <c r="N76" s="2">
        <v>7</v>
      </c>
      <c r="O76" s="7">
        <f t="shared" ca="1" si="2"/>
        <v>4</v>
      </c>
      <c r="P76" s="6" t="str">
        <f t="shared" ca="1" si="3"/>
        <v>No Bounes</v>
      </c>
      <c r="Q76" t="str">
        <f>TEXT(data[[#This Row],[Join_Date]],"mmmm")</f>
        <v>January</v>
      </c>
      <c r="R76" t="str">
        <f>TEXT(data[[#This Row],[Join_Date]],"yyyy")</f>
        <v>2022</v>
      </c>
    </row>
    <row r="77" spans="1:18">
      <c r="A77" s="8" t="s">
        <v>109</v>
      </c>
      <c r="B77" s="1" t="s">
        <v>59</v>
      </c>
      <c r="C77" s="1" t="s">
        <v>20</v>
      </c>
      <c r="D77" s="1" t="s">
        <v>28</v>
      </c>
      <c r="E77" s="5">
        <v>44129</v>
      </c>
      <c r="F77" s="1">
        <v>9.5</v>
      </c>
      <c r="G77" s="1">
        <v>118094</v>
      </c>
      <c r="H77" s="1">
        <v>2</v>
      </c>
      <c r="I77" s="1">
        <v>12</v>
      </c>
      <c r="J77" s="1">
        <v>31</v>
      </c>
      <c r="K77" s="1">
        <v>3</v>
      </c>
      <c r="L77" s="1">
        <v>118</v>
      </c>
      <c r="M77" s="1">
        <v>10</v>
      </c>
      <c r="N77" s="2">
        <v>7</v>
      </c>
      <c r="O77" s="7">
        <f t="shared" ca="1" si="2"/>
        <v>5</v>
      </c>
      <c r="P77" s="6" t="str">
        <f t="shared" ca="1" si="3"/>
        <v>No Bounes</v>
      </c>
      <c r="Q77" t="str">
        <f>TEXT(data[[#This Row],[Join_Date]],"mmmm")</f>
        <v>October</v>
      </c>
      <c r="R77" t="str">
        <f>TEXT(data[[#This Row],[Join_Date]],"yyyy")</f>
        <v>2020</v>
      </c>
    </row>
    <row r="78" spans="1:18">
      <c r="A78" s="8" t="s">
        <v>110</v>
      </c>
      <c r="B78" s="1" t="s">
        <v>19</v>
      </c>
      <c r="C78" s="1" t="s">
        <v>45</v>
      </c>
      <c r="D78" s="1" t="s">
        <v>36</v>
      </c>
      <c r="E78" s="5">
        <v>44994</v>
      </c>
      <c r="F78" s="1">
        <v>12</v>
      </c>
      <c r="G78" s="1">
        <v>196595.45</v>
      </c>
      <c r="H78" s="1">
        <v>4</v>
      </c>
      <c r="I78" s="1">
        <v>9</v>
      </c>
      <c r="J78" s="1">
        <v>53</v>
      </c>
      <c r="K78" s="1">
        <v>3</v>
      </c>
      <c r="L78" s="1">
        <v>122</v>
      </c>
      <c r="M78" s="1">
        <v>7</v>
      </c>
      <c r="N78" s="2">
        <v>7</v>
      </c>
      <c r="O78" s="7">
        <f t="shared" ca="1" si="2"/>
        <v>3</v>
      </c>
      <c r="P78" s="6" t="str">
        <f t="shared" ca="1" si="3"/>
        <v>No Bounes</v>
      </c>
      <c r="Q78" t="str">
        <f>TEXT(data[[#This Row],[Join_Date]],"mmmm")</f>
        <v>March</v>
      </c>
      <c r="R78" t="str">
        <f>TEXT(data[[#This Row],[Join_Date]],"yyyy")</f>
        <v>2023</v>
      </c>
    </row>
    <row r="79" spans="1:18">
      <c r="A79" s="8" t="s">
        <v>111</v>
      </c>
      <c r="B79" s="1" t="s">
        <v>38</v>
      </c>
      <c r="C79" s="1" t="s">
        <v>27</v>
      </c>
      <c r="D79" s="1" t="s">
        <v>21</v>
      </c>
      <c r="E79" s="5">
        <v>44113</v>
      </c>
      <c r="F79" s="1">
        <v>12.5</v>
      </c>
      <c r="G79" s="1">
        <v>115324.42</v>
      </c>
      <c r="H79" s="1">
        <v>5</v>
      </c>
      <c r="I79" s="1">
        <v>11</v>
      </c>
      <c r="J79" s="1">
        <v>38</v>
      </c>
      <c r="K79" s="1">
        <v>7</v>
      </c>
      <c r="L79" s="1">
        <v>120</v>
      </c>
      <c r="M79" s="1">
        <v>6</v>
      </c>
      <c r="N79" s="2">
        <v>1</v>
      </c>
      <c r="O79" s="7">
        <f t="shared" ca="1" si="2"/>
        <v>6</v>
      </c>
      <c r="P79" s="6" t="str">
        <f t="shared" ca="1" si="3"/>
        <v>Get Bounes</v>
      </c>
      <c r="Q79" t="str">
        <f>TEXT(data[[#This Row],[Join_Date]],"mmmm")</f>
        <v>October</v>
      </c>
      <c r="R79" t="str">
        <f>TEXT(data[[#This Row],[Join_Date]],"yyyy")</f>
        <v>2020</v>
      </c>
    </row>
    <row r="80" spans="1:18">
      <c r="A80" s="8" t="s">
        <v>112</v>
      </c>
      <c r="B80" s="1" t="s">
        <v>19</v>
      </c>
      <c r="C80" s="1" t="s">
        <v>20</v>
      </c>
      <c r="D80" s="1" t="s">
        <v>31</v>
      </c>
      <c r="E80" s="5">
        <v>44732</v>
      </c>
      <c r="F80" s="1">
        <v>5.8</v>
      </c>
      <c r="G80" s="1">
        <v>114008.9</v>
      </c>
      <c r="H80" s="1">
        <v>4</v>
      </c>
      <c r="I80" s="1">
        <v>6</v>
      </c>
      <c r="J80" s="1">
        <v>46</v>
      </c>
      <c r="K80" s="1">
        <v>7</v>
      </c>
      <c r="L80" s="1">
        <v>96</v>
      </c>
      <c r="M80" s="1">
        <v>9</v>
      </c>
      <c r="N80" s="2">
        <v>2</v>
      </c>
      <c r="O80" s="7">
        <f t="shared" ca="1" si="2"/>
        <v>4</v>
      </c>
      <c r="P80" s="6" t="str">
        <f t="shared" ca="1" si="3"/>
        <v>No Bounes</v>
      </c>
      <c r="Q80" t="str">
        <f>TEXT(data[[#This Row],[Join_Date]],"mmmm")</f>
        <v>June</v>
      </c>
      <c r="R80" t="str">
        <f>TEXT(data[[#This Row],[Join_Date]],"yyyy")</f>
        <v>2022</v>
      </c>
    </row>
    <row r="81" spans="1:18">
      <c r="A81" s="8" t="s">
        <v>113</v>
      </c>
      <c r="B81" s="1" t="s">
        <v>26</v>
      </c>
      <c r="C81" s="1" t="s">
        <v>45</v>
      </c>
      <c r="D81" s="1" t="s">
        <v>21</v>
      </c>
      <c r="E81" s="5">
        <v>45089</v>
      </c>
      <c r="F81" s="1">
        <v>5.9</v>
      </c>
      <c r="G81" s="1">
        <v>143235.98000000001</v>
      </c>
      <c r="H81" s="1">
        <v>5</v>
      </c>
      <c r="I81" s="1">
        <v>9</v>
      </c>
      <c r="J81" s="1">
        <v>33</v>
      </c>
      <c r="K81" s="1">
        <v>4</v>
      </c>
      <c r="L81" s="1">
        <v>120</v>
      </c>
      <c r="M81" s="1">
        <v>3</v>
      </c>
      <c r="N81" s="2">
        <v>1</v>
      </c>
      <c r="O81" s="7">
        <f t="shared" ca="1" si="2"/>
        <v>3</v>
      </c>
      <c r="P81" s="6" t="str">
        <f t="shared" ca="1" si="3"/>
        <v>No Bounes</v>
      </c>
      <c r="Q81" t="str">
        <f>TEXT(data[[#This Row],[Join_Date]],"mmmm")</f>
        <v>June</v>
      </c>
      <c r="R81" t="str">
        <f>TEXT(data[[#This Row],[Join_Date]],"yyyy")</f>
        <v>2023</v>
      </c>
    </row>
    <row r="82" spans="1:18">
      <c r="A82" s="8" t="s">
        <v>114</v>
      </c>
      <c r="B82" s="1" t="s">
        <v>30</v>
      </c>
      <c r="C82" s="1" t="s">
        <v>23</v>
      </c>
      <c r="D82" s="1" t="s">
        <v>24</v>
      </c>
      <c r="E82" s="5">
        <v>44142</v>
      </c>
      <c r="F82" s="1">
        <v>5.7</v>
      </c>
      <c r="G82" s="1">
        <v>122604.47</v>
      </c>
      <c r="H82" s="1">
        <v>2</v>
      </c>
      <c r="I82" s="1">
        <v>7</v>
      </c>
      <c r="J82" s="1">
        <v>26</v>
      </c>
      <c r="K82" s="1">
        <v>4</v>
      </c>
      <c r="L82" s="1">
        <v>58</v>
      </c>
      <c r="M82" s="1">
        <v>2</v>
      </c>
      <c r="N82" s="2">
        <v>10</v>
      </c>
      <c r="O82" s="7">
        <f t="shared" ca="1" si="2"/>
        <v>5</v>
      </c>
      <c r="P82" s="6" t="str">
        <f t="shared" ca="1" si="3"/>
        <v>No Bounes</v>
      </c>
      <c r="Q82" t="str">
        <f>TEXT(data[[#This Row],[Join_Date]],"mmmm")</f>
        <v>November</v>
      </c>
      <c r="R82" t="str">
        <f>TEXT(data[[#This Row],[Join_Date]],"yyyy")</f>
        <v>2020</v>
      </c>
    </row>
    <row r="83" spans="1:18">
      <c r="A83" s="8" t="s">
        <v>115</v>
      </c>
      <c r="B83" s="1" t="s">
        <v>26</v>
      </c>
      <c r="C83" s="1" t="s">
        <v>45</v>
      </c>
      <c r="D83" s="1" t="s">
        <v>24</v>
      </c>
      <c r="E83" s="5">
        <v>43967</v>
      </c>
      <c r="F83" s="1">
        <v>7.3</v>
      </c>
      <c r="G83" s="1">
        <v>177234.65</v>
      </c>
      <c r="H83" s="1">
        <v>3</v>
      </c>
      <c r="I83" s="1">
        <v>11</v>
      </c>
      <c r="J83" s="1">
        <v>35</v>
      </c>
      <c r="K83" s="1">
        <v>1</v>
      </c>
      <c r="L83" s="1">
        <v>89</v>
      </c>
      <c r="M83" s="1">
        <v>8</v>
      </c>
      <c r="N83" s="2">
        <v>8</v>
      </c>
      <c r="O83" s="7">
        <f t="shared" ca="1" si="2"/>
        <v>6</v>
      </c>
      <c r="P83" s="6" t="str">
        <f t="shared" ca="1" si="3"/>
        <v>No Bounes</v>
      </c>
      <c r="Q83" t="str">
        <f>TEXT(data[[#This Row],[Join_Date]],"mmmm")</f>
        <v>May</v>
      </c>
      <c r="R83" t="str">
        <f>TEXT(data[[#This Row],[Join_Date]],"yyyy")</f>
        <v>2020</v>
      </c>
    </row>
    <row r="84" spans="1:18">
      <c r="A84" s="8" t="s">
        <v>116</v>
      </c>
      <c r="B84" s="1" t="s">
        <v>26</v>
      </c>
      <c r="C84" s="1" t="s">
        <v>20</v>
      </c>
      <c r="D84" s="1" t="s">
        <v>24</v>
      </c>
      <c r="E84" s="5">
        <v>44644</v>
      </c>
      <c r="F84" s="1">
        <v>2.5</v>
      </c>
      <c r="G84" s="1">
        <v>93601.49</v>
      </c>
      <c r="H84" s="1">
        <v>3</v>
      </c>
      <c r="I84" s="1">
        <v>9</v>
      </c>
      <c r="J84" s="1">
        <v>44</v>
      </c>
      <c r="K84" s="1">
        <v>4</v>
      </c>
      <c r="L84" s="1">
        <v>156</v>
      </c>
      <c r="M84" s="1">
        <v>7</v>
      </c>
      <c r="N84" s="2">
        <v>7</v>
      </c>
      <c r="O84" s="7">
        <f t="shared" ca="1" si="2"/>
        <v>4</v>
      </c>
      <c r="P84" s="6" t="str">
        <f t="shared" ca="1" si="3"/>
        <v>No Bounes</v>
      </c>
      <c r="Q84" t="str">
        <f>TEXT(data[[#This Row],[Join_Date]],"mmmm")</f>
        <v>March</v>
      </c>
      <c r="R84" t="str">
        <f>TEXT(data[[#This Row],[Join_Date]],"yyyy")</f>
        <v>2022</v>
      </c>
    </row>
    <row r="85" spans="1:18">
      <c r="A85" s="8" t="s">
        <v>117</v>
      </c>
      <c r="B85" s="1" t="s">
        <v>26</v>
      </c>
      <c r="C85" s="1" t="s">
        <v>39</v>
      </c>
      <c r="D85" s="1" t="s">
        <v>28</v>
      </c>
      <c r="E85" s="5">
        <v>44851</v>
      </c>
      <c r="F85" s="1">
        <v>8.1999999999999993</v>
      </c>
      <c r="G85" s="1">
        <v>60484.9</v>
      </c>
      <c r="H85" s="1">
        <v>3</v>
      </c>
      <c r="I85" s="1">
        <v>8</v>
      </c>
      <c r="J85" s="1">
        <v>39</v>
      </c>
      <c r="K85" s="1">
        <v>4</v>
      </c>
      <c r="L85" s="1">
        <v>91</v>
      </c>
      <c r="M85" s="1">
        <v>1</v>
      </c>
      <c r="N85" s="2">
        <v>7</v>
      </c>
      <c r="O85" s="7">
        <f t="shared" ca="1" si="2"/>
        <v>4</v>
      </c>
      <c r="P85" s="6" t="str">
        <f t="shared" ca="1" si="3"/>
        <v>No Bounes</v>
      </c>
      <c r="Q85" t="str">
        <f>TEXT(data[[#This Row],[Join_Date]],"mmmm")</f>
        <v>October</v>
      </c>
      <c r="R85" t="str">
        <f>TEXT(data[[#This Row],[Join_Date]],"yyyy")</f>
        <v>2022</v>
      </c>
    </row>
    <row r="86" spans="1:18">
      <c r="A86" s="8" t="s">
        <v>118</v>
      </c>
      <c r="B86" s="1" t="s">
        <v>38</v>
      </c>
      <c r="C86" s="1" t="s">
        <v>27</v>
      </c>
      <c r="D86" s="1" t="s">
        <v>21</v>
      </c>
      <c r="E86" s="5">
        <v>44227</v>
      </c>
      <c r="F86" s="1">
        <v>1</v>
      </c>
      <c r="G86" s="1">
        <v>67415.520000000004</v>
      </c>
      <c r="H86" s="1">
        <v>4</v>
      </c>
      <c r="I86" s="1">
        <v>10</v>
      </c>
      <c r="J86" s="1">
        <v>45</v>
      </c>
      <c r="K86" s="1">
        <v>7</v>
      </c>
      <c r="L86" s="1">
        <v>52</v>
      </c>
      <c r="M86" s="1">
        <v>6</v>
      </c>
      <c r="N86" s="2">
        <v>2</v>
      </c>
      <c r="O86" s="7">
        <f t="shared" ca="1" si="2"/>
        <v>5</v>
      </c>
      <c r="P86" s="6" t="str">
        <f t="shared" ca="1" si="3"/>
        <v>No Bounes</v>
      </c>
      <c r="Q86" t="str">
        <f>TEXT(data[[#This Row],[Join_Date]],"mmmm")</f>
        <v>January</v>
      </c>
      <c r="R86" t="str">
        <f>TEXT(data[[#This Row],[Join_Date]],"yyyy")</f>
        <v>2021</v>
      </c>
    </row>
    <row r="87" spans="1:18">
      <c r="A87" s="8" t="s">
        <v>119</v>
      </c>
      <c r="B87" s="1" t="s">
        <v>38</v>
      </c>
      <c r="C87" s="1" t="s">
        <v>27</v>
      </c>
      <c r="D87" s="1" t="s">
        <v>21</v>
      </c>
      <c r="E87" s="5">
        <v>45222</v>
      </c>
      <c r="F87" s="1">
        <v>12.9</v>
      </c>
      <c r="G87" s="1">
        <v>96714.89</v>
      </c>
      <c r="H87" s="1">
        <v>2</v>
      </c>
      <c r="I87" s="1">
        <v>8</v>
      </c>
      <c r="J87" s="1">
        <v>35</v>
      </c>
      <c r="K87" s="1">
        <v>6</v>
      </c>
      <c r="L87" s="1">
        <v>89</v>
      </c>
      <c r="M87" s="1">
        <v>8</v>
      </c>
      <c r="N87" s="2">
        <v>10</v>
      </c>
      <c r="O87" s="7">
        <f t="shared" ca="1" si="2"/>
        <v>2</v>
      </c>
      <c r="P87" s="6" t="str">
        <f t="shared" ca="1" si="3"/>
        <v>No Bounes</v>
      </c>
      <c r="Q87" t="str">
        <f>TEXT(data[[#This Row],[Join_Date]],"mmmm")</f>
        <v>October</v>
      </c>
      <c r="R87" t="str">
        <f>TEXT(data[[#This Row],[Join_Date]],"yyyy")</f>
        <v>2023</v>
      </c>
    </row>
    <row r="88" spans="1:18">
      <c r="A88" s="8" t="s">
        <v>120</v>
      </c>
      <c r="B88" s="1" t="s">
        <v>49</v>
      </c>
      <c r="C88" s="1" t="s">
        <v>27</v>
      </c>
      <c r="D88" s="1" t="s">
        <v>36</v>
      </c>
      <c r="E88" s="5">
        <v>44634</v>
      </c>
      <c r="F88" s="1">
        <v>5.6</v>
      </c>
      <c r="G88" s="1">
        <v>81889.789999999994</v>
      </c>
      <c r="H88" s="1">
        <v>3</v>
      </c>
      <c r="I88" s="1">
        <v>4</v>
      </c>
      <c r="J88" s="1">
        <v>40</v>
      </c>
      <c r="K88" s="1">
        <v>4</v>
      </c>
      <c r="L88" s="1">
        <v>105</v>
      </c>
      <c r="M88" s="1">
        <v>10</v>
      </c>
      <c r="N88" s="2">
        <v>1</v>
      </c>
      <c r="O88" s="7">
        <f t="shared" ca="1" si="2"/>
        <v>4</v>
      </c>
      <c r="P88" s="6" t="str">
        <f t="shared" ca="1" si="3"/>
        <v>No Bounes</v>
      </c>
      <c r="Q88" t="str">
        <f>TEXT(data[[#This Row],[Join_Date]],"mmmm")</f>
        <v>March</v>
      </c>
      <c r="R88" t="str">
        <f>TEXT(data[[#This Row],[Join_Date]],"yyyy")</f>
        <v>2022</v>
      </c>
    </row>
    <row r="89" spans="1:18">
      <c r="A89" s="8" t="s">
        <v>121</v>
      </c>
      <c r="B89" s="1" t="s">
        <v>49</v>
      </c>
      <c r="C89" s="1" t="s">
        <v>39</v>
      </c>
      <c r="D89" s="1" t="s">
        <v>21</v>
      </c>
      <c r="E89" s="5">
        <v>44311</v>
      </c>
      <c r="F89" s="1">
        <v>13.2</v>
      </c>
      <c r="G89" s="1">
        <v>72222.94</v>
      </c>
      <c r="H89" s="1">
        <v>4</v>
      </c>
      <c r="I89" s="1">
        <v>6</v>
      </c>
      <c r="J89" s="1">
        <v>57</v>
      </c>
      <c r="K89" s="1">
        <v>4</v>
      </c>
      <c r="L89" s="1">
        <v>94</v>
      </c>
      <c r="M89" s="1">
        <v>7</v>
      </c>
      <c r="N89" s="2">
        <v>1</v>
      </c>
      <c r="O89" s="7">
        <f t="shared" ca="1" si="2"/>
        <v>5</v>
      </c>
      <c r="P89" s="6" t="str">
        <f t="shared" ca="1" si="3"/>
        <v>No Bounes</v>
      </c>
      <c r="Q89" t="str">
        <f>TEXT(data[[#This Row],[Join_Date]],"mmmm")</f>
        <v>April</v>
      </c>
      <c r="R89" t="str">
        <f>TEXT(data[[#This Row],[Join_Date]],"yyyy")</f>
        <v>2021</v>
      </c>
    </row>
    <row r="90" spans="1:18">
      <c r="A90" s="8" t="s">
        <v>122</v>
      </c>
      <c r="B90" s="1" t="s">
        <v>49</v>
      </c>
      <c r="C90" s="1" t="s">
        <v>27</v>
      </c>
      <c r="D90" s="1" t="s">
        <v>21</v>
      </c>
      <c r="E90" s="5">
        <v>43922</v>
      </c>
      <c r="F90" s="1">
        <v>2.8</v>
      </c>
      <c r="G90" s="1">
        <v>71926.600000000006</v>
      </c>
      <c r="H90" s="1">
        <v>2</v>
      </c>
      <c r="I90" s="1">
        <v>7</v>
      </c>
      <c r="J90" s="1">
        <v>30</v>
      </c>
      <c r="K90" s="1">
        <v>2</v>
      </c>
      <c r="L90" s="1">
        <v>88</v>
      </c>
      <c r="M90" s="1">
        <v>10</v>
      </c>
      <c r="N90" s="2">
        <v>7</v>
      </c>
      <c r="O90" s="7">
        <f t="shared" ca="1" si="2"/>
        <v>6</v>
      </c>
      <c r="P90" s="6" t="str">
        <f t="shared" ca="1" si="3"/>
        <v>No Bounes</v>
      </c>
      <c r="Q90" t="str">
        <f>TEXT(data[[#This Row],[Join_Date]],"mmmm")</f>
        <v>April</v>
      </c>
      <c r="R90" t="str">
        <f>TEXT(data[[#This Row],[Join_Date]],"yyyy")</f>
        <v>2020</v>
      </c>
    </row>
    <row r="91" spans="1:18">
      <c r="A91" s="8" t="s">
        <v>123</v>
      </c>
      <c r="B91" s="1" t="s">
        <v>59</v>
      </c>
      <c r="C91" s="1" t="s">
        <v>23</v>
      </c>
      <c r="D91" s="1" t="s">
        <v>24</v>
      </c>
      <c r="E91" s="5">
        <v>44810</v>
      </c>
      <c r="F91" s="1">
        <v>6.8</v>
      </c>
      <c r="G91" s="1">
        <v>141572.60999999999</v>
      </c>
      <c r="H91" s="1">
        <v>1</v>
      </c>
      <c r="I91" s="1">
        <v>7</v>
      </c>
      <c r="J91" s="1">
        <v>60</v>
      </c>
      <c r="K91" s="1">
        <v>1</v>
      </c>
      <c r="L91" s="1">
        <v>66</v>
      </c>
      <c r="M91" s="1">
        <v>1</v>
      </c>
      <c r="N91" s="2">
        <v>8</v>
      </c>
      <c r="O91" s="7">
        <f t="shared" ca="1" si="2"/>
        <v>4</v>
      </c>
      <c r="P91" s="6" t="str">
        <f t="shared" ca="1" si="3"/>
        <v>No Bounes</v>
      </c>
      <c r="Q91" t="str">
        <f>TEXT(data[[#This Row],[Join_Date]],"mmmm")</f>
        <v>September</v>
      </c>
      <c r="R91" t="str">
        <f>TEXT(data[[#This Row],[Join_Date]],"yyyy")</f>
        <v>2022</v>
      </c>
    </row>
    <row r="92" spans="1:18">
      <c r="A92" s="8" t="s">
        <v>124</v>
      </c>
      <c r="B92" s="1" t="s">
        <v>49</v>
      </c>
      <c r="C92" s="1" t="s">
        <v>27</v>
      </c>
      <c r="D92" s="1" t="s">
        <v>24</v>
      </c>
      <c r="E92" s="5">
        <v>45273</v>
      </c>
      <c r="F92" s="1">
        <v>7.5</v>
      </c>
      <c r="G92" s="1">
        <v>89100.23</v>
      </c>
      <c r="H92" s="1">
        <v>3</v>
      </c>
      <c r="I92" s="1">
        <v>8</v>
      </c>
      <c r="J92" s="1">
        <v>46</v>
      </c>
      <c r="K92" s="1">
        <v>4</v>
      </c>
      <c r="L92" s="1">
        <v>120</v>
      </c>
      <c r="M92" s="1">
        <v>3</v>
      </c>
      <c r="N92" s="2">
        <v>5</v>
      </c>
      <c r="O92" s="7">
        <f t="shared" ca="1" si="2"/>
        <v>2</v>
      </c>
      <c r="P92" s="6" t="str">
        <f t="shared" ca="1" si="3"/>
        <v>No Bounes</v>
      </c>
      <c r="Q92" t="str">
        <f>TEXT(data[[#This Row],[Join_Date]],"mmmm")</f>
        <v>December</v>
      </c>
      <c r="R92" t="str">
        <f>TEXT(data[[#This Row],[Join_Date]],"yyyy")</f>
        <v>2023</v>
      </c>
    </row>
    <row r="93" spans="1:18">
      <c r="A93" s="8" t="s">
        <v>125</v>
      </c>
      <c r="B93" s="1" t="s">
        <v>30</v>
      </c>
      <c r="C93" s="1" t="s">
        <v>23</v>
      </c>
      <c r="D93" s="1" t="s">
        <v>21</v>
      </c>
      <c r="E93" s="5">
        <v>44723</v>
      </c>
      <c r="F93" s="1">
        <v>1.2</v>
      </c>
      <c r="G93" s="1">
        <v>96136.24</v>
      </c>
      <c r="H93" s="1">
        <v>4</v>
      </c>
      <c r="I93" s="1">
        <v>7</v>
      </c>
      <c r="J93" s="1">
        <v>40</v>
      </c>
      <c r="K93" s="1">
        <v>8</v>
      </c>
      <c r="L93" s="1">
        <v>70</v>
      </c>
      <c r="M93" s="1">
        <v>7</v>
      </c>
      <c r="N93" s="2">
        <v>5</v>
      </c>
      <c r="O93" s="7">
        <f t="shared" ca="1" si="2"/>
        <v>4</v>
      </c>
      <c r="P93" s="6" t="str">
        <f t="shared" ca="1" si="3"/>
        <v>No Bounes</v>
      </c>
      <c r="Q93" t="str">
        <f>TEXT(data[[#This Row],[Join_Date]],"mmmm")</f>
        <v>June</v>
      </c>
      <c r="R93" t="str">
        <f>TEXT(data[[#This Row],[Join_Date]],"yyyy")</f>
        <v>2022</v>
      </c>
    </row>
    <row r="94" spans="1:18">
      <c r="A94" s="8" t="s">
        <v>126</v>
      </c>
      <c r="B94" s="1" t="s">
        <v>30</v>
      </c>
      <c r="C94" s="1" t="s">
        <v>45</v>
      </c>
      <c r="D94" s="1" t="s">
        <v>21</v>
      </c>
      <c r="E94" s="5">
        <v>44876</v>
      </c>
      <c r="F94" s="1">
        <v>3</v>
      </c>
      <c r="G94" s="1">
        <v>126840.73</v>
      </c>
      <c r="H94" s="1">
        <v>1</v>
      </c>
      <c r="I94" s="1">
        <v>11</v>
      </c>
      <c r="J94" s="1">
        <v>42</v>
      </c>
      <c r="K94" s="1">
        <v>0</v>
      </c>
      <c r="L94" s="1">
        <v>82</v>
      </c>
      <c r="M94" s="1">
        <v>2</v>
      </c>
      <c r="N94" s="2">
        <v>8</v>
      </c>
      <c r="O94" s="7">
        <f t="shared" ca="1" si="2"/>
        <v>3</v>
      </c>
      <c r="P94" s="6" t="str">
        <f t="shared" ca="1" si="3"/>
        <v>No Bounes</v>
      </c>
      <c r="Q94" t="str">
        <f>TEXT(data[[#This Row],[Join_Date]],"mmmm")</f>
        <v>November</v>
      </c>
      <c r="R94" t="str">
        <f>TEXT(data[[#This Row],[Join_Date]],"yyyy")</f>
        <v>2022</v>
      </c>
    </row>
    <row r="95" spans="1:18">
      <c r="A95" s="8" t="s">
        <v>127</v>
      </c>
      <c r="B95" s="1" t="s">
        <v>59</v>
      </c>
      <c r="C95" s="1" t="s">
        <v>20</v>
      </c>
      <c r="D95" s="1" t="s">
        <v>36</v>
      </c>
      <c r="E95" s="5">
        <v>43869</v>
      </c>
      <c r="F95" s="1">
        <v>14.3</v>
      </c>
      <c r="G95" s="1">
        <v>140176.51</v>
      </c>
      <c r="H95" s="1">
        <v>3</v>
      </c>
      <c r="I95" s="1">
        <v>13</v>
      </c>
      <c r="J95" s="1">
        <v>41</v>
      </c>
      <c r="K95" s="1">
        <v>2</v>
      </c>
      <c r="L95" s="1">
        <v>120</v>
      </c>
      <c r="M95" s="1">
        <v>5</v>
      </c>
      <c r="N95" s="2">
        <v>7</v>
      </c>
      <c r="O95" s="7">
        <f t="shared" ca="1" si="2"/>
        <v>6</v>
      </c>
      <c r="P95" s="6" t="str">
        <f t="shared" ca="1" si="3"/>
        <v>Get Bounes</v>
      </c>
      <c r="Q95" t="str">
        <f>TEXT(data[[#This Row],[Join_Date]],"mmmm")</f>
        <v>February</v>
      </c>
      <c r="R95" t="str">
        <f>TEXT(data[[#This Row],[Join_Date]],"yyyy")</f>
        <v>2020</v>
      </c>
    </row>
    <row r="96" spans="1:18">
      <c r="A96" s="8" t="s">
        <v>128</v>
      </c>
      <c r="B96" s="1" t="s">
        <v>19</v>
      </c>
      <c r="C96" s="1" t="s">
        <v>20</v>
      </c>
      <c r="D96" s="1" t="s">
        <v>28</v>
      </c>
      <c r="E96" s="5">
        <v>45099</v>
      </c>
      <c r="F96" s="1">
        <v>4.7</v>
      </c>
      <c r="G96" s="1">
        <v>100657.21</v>
      </c>
      <c r="H96" s="1">
        <v>1</v>
      </c>
      <c r="I96" s="1">
        <v>8</v>
      </c>
      <c r="J96" s="1">
        <v>43</v>
      </c>
      <c r="K96" s="1">
        <v>5</v>
      </c>
      <c r="L96" s="1">
        <v>66</v>
      </c>
      <c r="M96" s="1">
        <v>6</v>
      </c>
      <c r="N96" s="2">
        <v>5</v>
      </c>
      <c r="O96" s="7">
        <f t="shared" ca="1" si="2"/>
        <v>3</v>
      </c>
      <c r="P96" s="6" t="str">
        <f t="shared" ca="1" si="3"/>
        <v>No Bounes</v>
      </c>
      <c r="Q96" t="str">
        <f>TEXT(data[[#This Row],[Join_Date]],"mmmm")</f>
        <v>June</v>
      </c>
      <c r="R96" t="str">
        <f>TEXT(data[[#This Row],[Join_Date]],"yyyy")</f>
        <v>2023</v>
      </c>
    </row>
    <row r="97" spans="1:18">
      <c r="A97" s="8" t="s">
        <v>129</v>
      </c>
      <c r="B97" s="1" t="s">
        <v>30</v>
      </c>
      <c r="C97" s="1" t="s">
        <v>20</v>
      </c>
      <c r="D97" s="1" t="s">
        <v>28</v>
      </c>
      <c r="E97" s="5">
        <v>44718</v>
      </c>
      <c r="F97" s="1">
        <v>2</v>
      </c>
      <c r="G97" s="1">
        <v>93965.05</v>
      </c>
      <c r="H97" s="1">
        <v>4</v>
      </c>
      <c r="I97" s="1">
        <v>12</v>
      </c>
      <c r="J97" s="1">
        <v>29</v>
      </c>
      <c r="K97" s="1">
        <v>2</v>
      </c>
      <c r="L97" s="1">
        <v>73</v>
      </c>
      <c r="M97" s="1">
        <v>5</v>
      </c>
      <c r="N97" s="2">
        <v>10</v>
      </c>
      <c r="O97" s="7">
        <f t="shared" ca="1" si="2"/>
        <v>4</v>
      </c>
      <c r="P97" s="6" t="str">
        <f t="shared" ca="1" si="3"/>
        <v>No Bounes</v>
      </c>
      <c r="Q97" t="str">
        <f>TEXT(data[[#This Row],[Join_Date]],"mmmm")</f>
        <v>June</v>
      </c>
      <c r="R97" t="str">
        <f>TEXT(data[[#This Row],[Join_Date]],"yyyy")</f>
        <v>2022</v>
      </c>
    </row>
    <row r="98" spans="1:18">
      <c r="A98" s="8" t="s">
        <v>130</v>
      </c>
      <c r="B98" s="1" t="s">
        <v>19</v>
      </c>
      <c r="C98" s="1" t="s">
        <v>27</v>
      </c>
      <c r="D98" s="1" t="s">
        <v>24</v>
      </c>
      <c r="E98" s="5">
        <v>44551</v>
      </c>
      <c r="F98" s="1">
        <v>10.4</v>
      </c>
      <c r="G98" s="1">
        <v>106281.08</v>
      </c>
      <c r="H98" s="1">
        <v>5</v>
      </c>
      <c r="I98" s="1">
        <v>8</v>
      </c>
      <c r="J98" s="1">
        <v>41</v>
      </c>
      <c r="K98" s="1">
        <v>3</v>
      </c>
      <c r="L98" s="1">
        <v>122</v>
      </c>
      <c r="M98" s="1">
        <v>1</v>
      </c>
      <c r="N98" s="2">
        <v>4</v>
      </c>
      <c r="O98" s="7">
        <f t="shared" ca="1" si="2"/>
        <v>4</v>
      </c>
      <c r="P98" s="6" t="str">
        <f t="shared" ca="1" si="3"/>
        <v>No Bounes</v>
      </c>
      <c r="Q98" t="str">
        <f>TEXT(data[[#This Row],[Join_Date]],"mmmm")</f>
        <v>December</v>
      </c>
      <c r="R98" t="str">
        <f>TEXT(data[[#This Row],[Join_Date]],"yyyy")</f>
        <v>2021</v>
      </c>
    </row>
    <row r="99" spans="1:18">
      <c r="A99" s="8" t="s">
        <v>131</v>
      </c>
      <c r="B99" s="1" t="s">
        <v>19</v>
      </c>
      <c r="C99" s="1" t="s">
        <v>45</v>
      </c>
      <c r="D99" s="1" t="s">
        <v>31</v>
      </c>
      <c r="E99" s="5">
        <v>44489</v>
      </c>
      <c r="F99" s="1">
        <v>14.6</v>
      </c>
      <c r="G99" s="1">
        <v>206663.28</v>
      </c>
      <c r="H99" s="1">
        <v>3</v>
      </c>
      <c r="I99" s="1">
        <v>10</v>
      </c>
      <c r="J99" s="1">
        <v>33</v>
      </c>
      <c r="K99" s="1">
        <v>6</v>
      </c>
      <c r="L99" s="1">
        <v>134</v>
      </c>
      <c r="M99" s="1">
        <v>1</v>
      </c>
      <c r="N99" s="2">
        <v>8</v>
      </c>
      <c r="O99" s="7">
        <f t="shared" ca="1" si="2"/>
        <v>4</v>
      </c>
      <c r="P99" s="6" t="str">
        <f t="shared" ca="1" si="3"/>
        <v>No Bounes</v>
      </c>
      <c r="Q99" t="str">
        <f>TEXT(data[[#This Row],[Join_Date]],"mmmm")</f>
        <v>October</v>
      </c>
      <c r="R99" t="str">
        <f>TEXT(data[[#This Row],[Join_Date]],"yyyy")</f>
        <v>2021</v>
      </c>
    </row>
    <row r="100" spans="1:18">
      <c r="A100" s="8" t="s">
        <v>132</v>
      </c>
      <c r="B100" s="1" t="s">
        <v>38</v>
      </c>
      <c r="C100" s="1" t="s">
        <v>23</v>
      </c>
      <c r="D100" s="1" t="s">
        <v>24</v>
      </c>
      <c r="E100" s="5">
        <v>44356</v>
      </c>
      <c r="F100" s="1">
        <v>3.4</v>
      </c>
      <c r="G100" s="1">
        <v>126840.36</v>
      </c>
      <c r="H100" s="1">
        <v>2</v>
      </c>
      <c r="I100" s="1">
        <v>9</v>
      </c>
      <c r="J100" s="1">
        <v>37</v>
      </c>
      <c r="K100" s="1">
        <v>1</v>
      </c>
      <c r="L100" s="1">
        <v>87</v>
      </c>
      <c r="M100" s="1">
        <v>7</v>
      </c>
      <c r="N100" s="2">
        <v>5</v>
      </c>
      <c r="O100" s="7">
        <f t="shared" ca="1" si="2"/>
        <v>5</v>
      </c>
      <c r="P100" s="6" t="str">
        <f t="shared" ca="1" si="3"/>
        <v>No Bounes</v>
      </c>
      <c r="Q100" t="str">
        <f>TEXT(data[[#This Row],[Join_Date]],"mmmm")</f>
        <v>June</v>
      </c>
      <c r="R100" t="str">
        <f>TEXT(data[[#This Row],[Join_Date]],"yyyy")</f>
        <v>2021</v>
      </c>
    </row>
    <row r="101" spans="1:18">
      <c r="A101" s="8" t="s">
        <v>133</v>
      </c>
      <c r="B101" s="1" t="s">
        <v>49</v>
      </c>
      <c r="C101" s="1" t="s">
        <v>20</v>
      </c>
      <c r="D101" s="1" t="s">
        <v>31</v>
      </c>
      <c r="E101" s="5">
        <v>45058</v>
      </c>
      <c r="F101" s="1">
        <v>2.9</v>
      </c>
      <c r="G101" s="1">
        <v>105504.19</v>
      </c>
      <c r="H101" s="1">
        <v>2</v>
      </c>
      <c r="I101" s="1">
        <v>9</v>
      </c>
      <c r="J101" s="1">
        <v>42</v>
      </c>
      <c r="K101" s="1">
        <v>4</v>
      </c>
      <c r="L101" s="1">
        <v>107</v>
      </c>
      <c r="M101" s="1">
        <v>2</v>
      </c>
      <c r="N101" s="2">
        <v>1</v>
      </c>
      <c r="O101" s="7">
        <f t="shared" ca="1" si="2"/>
        <v>3</v>
      </c>
      <c r="P101" s="6" t="str">
        <f t="shared" ca="1" si="3"/>
        <v>No Bounes</v>
      </c>
      <c r="Q101" t="str">
        <f>TEXT(data[[#This Row],[Join_Date]],"mmmm")</f>
        <v>May</v>
      </c>
      <c r="R101" t="str">
        <f>TEXT(data[[#This Row],[Join_Date]],"yyyy")</f>
        <v>2023</v>
      </c>
    </row>
    <row r="102" spans="1:18">
      <c r="A102" s="8" t="s">
        <v>134</v>
      </c>
      <c r="B102" s="1" t="s">
        <v>49</v>
      </c>
      <c r="C102" s="1" t="s">
        <v>20</v>
      </c>
      <c r="D102" s="1" t="s">
        <v>21</v>
      </c>
      <c r="E102" s="5">
        <v>44613</v>
      </c>
      <c r="F102" s="1">
        <v>13.1</v>
      </c>
      <c r="G102" s="1">
        <v>146369.15</v>
      </c>
      <c r="H102" s="1">
        <v>3</v>
      </c>
      <c r="I102" s="1">
        <v>14</v>
      </c>
      <c r="J102" s="1">
        <v>34</v>
      </c>
      <c r="K102" s="1">
        <v>4</v>
      </c>
      <c r="L102" s="1">
        <v>60</v>
      </c>
      <c r="M102" s="1">
        <v>5</v>
      </c>
      <c r="N102" s="2">
        <v>8</v>
      </c>
      <c r="O102" s="7">
        <f t="shared" ca="1" si="2"/>
        <v>4</v>
      </c>
      <c r="P102" s="6" t="str">
        <f t="shared" ca="1" si="3"/>
        <v>No Bounes</v>
      </c>
      <c r="Q102" t="str">
        <f>TEXT(data[[#This Row],[Join_Date]],"mmmm")</f>
        <v>February</v>
      </c>
      <c r="R102" t="str">
        <f>TEXT(data[[#This Row],[Join_Date]],"yyyy")</f>
        <v>2022</v>
      </c>
    </row>
    <row r="103" spans="1:18">
      <c r="A103" s="8" t="s">
        <v>135</v>
      </c>
      <c r="B103" s="1" t="s">
        <v>19</v>
      </c>
      <c r="C103" s="1" t="s">
        <v>39</v>
      </c>
      <c r="D103" s="1" t="s">
        <v>24</v>
      </c>
      <c r="E103" s="5">
        <v>44320</v>
      </c>
      <c r="F103" s="1">
        <v>1.6</v>
      </c>
      <c r="G103" s="1">
        <v>48923.22</v>
      </c>
      <c r="H103" s="1">
        <v>1</v>
      </c>
      <c r="I103" s="1">
        <v>9</v>
      </c>
      <c r="J103" s="1">
        <v>49</v>
      </c>
      <c r="K103" s="1">
        <v>1</v>
      </c>
      <c r="L103" s="1">
        <v>80</v>
      </c>
      <c r="M103" s="1">
        <v>3</v>
      </c>
      <c r="N103" s="2">
        <v>3</v>
      </c>
      <c r="O103" s="7">
        <f t="shared" ca="1" si="2"/>
        <v>5</v>
      </c>
      <c r="P103" s="6" t="str">
        <f t="shared" ca="1" si="3"/>
        <v>No Bounes</v>
      </c>
      <c r="Q103" t="str">
        <f>TEXT(data[[#This Row],[Join_Date]],"mmmm")</f>
        <v>May</v>
      </c>
      <c r="R103" t="str">
        <f>TEXT(data[[#This Row],[Join_Date]],"yyyy")</f>
        <v>2021</v>
      </c>
    </row>
    <row r="104" spans="1:18">
      <c r="A104" s="8" t="s">
        <v>136</v>
      </c>
      <c r="B104" s="1" t="s">
        <v>49</v>
      </c>
      <c r="C104" s="1" t="s">
        <v>45</v>
      </c>
      <c r="D104" s="1" t="s">
        <v>24</v>
      </c>
      <c r="E104" s="5">
        <v>43917</v>
      </c>
      <c r="F104" s="1">
        <v>14.2</v>
      </c>
      <c r="G104" s="1">
        <v>201495.89</v>
      </c>
      <c r="H104" s="1">
        <v>3</v>
      </c>
      <c r="I104" s="1">
        <v>10</v>
      </c>
      <c r="J104" s="1">
        <v>48</v>
      </c>
      <c r="K104" s="1">
        <v>5</v>
      </c>
      <c r="L104" s="1">
        <v>109</v>
      </c>
      <c r="M104" s="1">
        <v>5</v>
      </c>
      <c r="N104" s="2">
        <v>6</v>
      </c>
      <c r="O104" s="7">
        <f t="shared" ca="1" si="2"/>
        <v>6</v>
      </c>
      <c r="P104" s="6" t="str">
        <f t="shared" ca="1" si="3"/>
        <v>Get Bounes</v>
      </c>
      <c r="Q104" t="str">
        <f>TEXT(data[[#This Row],[Join_Date]],"mmmm")</f>
        <v>March</v>
      </c>
      <c r="R104" t="str">
        <f>TEXT(data[[#This Row],[Join_Date]],"yyyy")</f>
        <v>2020</v>
      </c>
    </row>
    <row r="105" spans="1:18">
      <c r="A105" s="8" t="s">
        <v>137</v>
      </c>
      <c r="B105" s="1" t="s">
        <v>19</v>
      </c>
      <c r="C105" s="1" t="s">
        <v>20</v>
      </c>
      <c r="D105" s="1" t="s">
        <v>21</v>
      </c>
      <c r="E105" s="5">
        <v>45167</v>
      </c>
      <c r="F105" s="1">
        <v>10.8</v>
      </c>
      <c r="G105" s="1">
        <v>125476.21</v>
      </c>
      <c r="H105" s="1">
        <v>3</v>
      </c>
      <c r="I105" s="1">
        <v>9</v>
      </c>
      <c r="J105" s="1">
        <v>44</v>
      </c>
      <c r="K105" s="1">
        <v>7</v>
      </c>
      <c r="L105" s="1">
        <v>48</v>
      </c>
      <c r="M105" s="1">
        <v>8</v>
      </c>
      <c r="N105" s="2">
        <v>7</v>
      </c>
      <c r="O105" s="7">
        <f t="shared" ca="1" si="2"/>
        <v>3</v>
      </c>
      <c r="P105" s="6" t="str">
        <f t="shared" ca="1" si="3"/>
        <v>No Bounes</v>
      </c>
      <c r="Q105" t="str">
        <f>TEXT(data[[#This Row],[Join_Date]],"mmmm")</f>
        <v>August</v>
      </c>
      <c r="R105" t="str">
        <f>TEXT(data[[#This Row],[Join_Date]],"yyyy")</f>
        <v>2023</v>
      </c>
    </row>
    <row r="106" spans="1:18">
      <c r="A106" s="8" t="s">
        <v>138</v>
      </c>
      <c r="B106" s="1" t="s">
        <v>30</v>
      </c>
      <c r="C106" s="1" t="s">
        <v>27</v>
      </c>
      <c r="D106" s="1" t="s">
        <v>24</v>
      </c>
      <c r="E106" s="5">
        <v>44014</v>
      </c>
      <c r="F106" s="1">
        <v>4.5</v>
      </c>
      <c r="G106" s="1">
        <v>80372.84</v>
      </c>
      <c r="H106" s="1">
        <v>5</v>
      </c>
      <c r="I106" s="1">
        <v>12</v>
      </c>
      <c r="J106" s="1">
        <v>39</v>
      </c>
      <c r="K106" s="1">
        <v>3</v>
      </c>
      <c r="L106" s="1">
        <v>26</v>
      </c>
      <c r="M106" s="1">
        <v>10</v>
      </c>
      <c r="N106" s="2">
        <v>8</v>
      </c>
      <c r="O106" s="7">
        <f t="shared" ca="1" si="2"/>
        <v>6</v>
      </c>
      <c r="P106" s="6" t="str">
        <f t="shared" ca="1" si="3"/>
        <v>No Bounes</v>
      </c>
      <c r="Q106" t="str">
        <f>TEXT(data[[#This Row],[Join_Date]],"mmmm")</f>
        <v>July</v>
      </c>
      <c r="R106" t="str">
        <f>TEXT(data[[#This Row],[Join_Date]],"yyyy")</f>
        <v>2020</v>
      </c>
    </row>
    <row r="107" spans="1:18">
      <c r="A107" s="8" t="s">
        <v>139</v>
      </c>
      <c r="B107" s="1" t="s">
        <v>38</v>
      </c>
      <c r="C107" s="1" t="s">
        <v>45</v>
      </c>
      <c r="D107" s="1" t="s">
        <v>28</v>
      </c>
      <c r="E107" s="5">
        <v>45075</v>
      </c>
      <c r="F107" s="1">
        <v>11.7</v>
      </c>
      <c r="G107" s="1">
        <v>204587.12</v>
      </c>
      <c r="H107" s="1">
        <v>3</v>
      </c>
      <c r="I107" s="1">
        <v>5</v>
      </c>
      <c r="J107" s="1">
        <v>56</v>
      </c>
      <c r="K107" s="1">
        <v>3</v>
      </c>
      <c r="L107" s="1">
        <v>67</v>
      </c>
      <c r="M107" s="1">
        <v>7</v>
      </c>
      <c r="N107" s="2">
        <v>6</v>
      </c>
      <c r="O107" s="7">
        <f t="shared" ca="1" si="2"/>
        <v>3</v>
      </c>
      <c r="P107" s="6" t="str">
        <f t="shared" ca="1" si="3"/>
        <v>No Bounes</v>
      </c>
      <c r="Q107" t="str">
        <f>TEXT(data[[#This Row],[Join_Date]],"mmmm")</f>
        <v>May</v>
      </c>
      <c r="R107" t="str">
        <f>TEXT(data[[#This Row],[Join_Date]],"yyyy")</f>
        <v>2023</v>
      </c>
    </row>
    <row r="108" spans="1:18">
      <c r="A108" s="8" t="s">
        <v>140</v>
      </c>
      <c r="B108" s="1" t="s">
        <v>59</v>
      </c>
      <c r="C108" s="1" t="s">
        <v>23</v>
      </c>
      <c r="D108" s="1" t="s">
        <v>28</v>
      </c>
      <c r="E108" s="5">
        <v>43858</v>
      </c>
      <c r="F108" s="1">
        <v>9.3000000000000007</v>
      </c>
      <c r="G108" s="1">
        <v>155811.45000000001</v>
      </c>
      <c r="H108" s="1">
        <v>3</v>
      </c>
      <c r="I108" s="1">
        <v>8</v>
      </c>
      <c r="J108" s="1">
        <v>32</v>
      </c>
      <c r="K108" s="1">
        <v>5</v>
      </c>
      <c r="L108" s="1">
        <v>145</v>
      </c>
      <c r="M108" s="1">
        <v>5</v>
      </c>
      <c r="N108" s="2">
        <v>9</v>
      </c>
      <c r="O108" s="7">
        <f t="shared" ca="1" si="2"/>
        <v>6</v>
      </c>
      <c r="P108" s="6" t="str">
        <f t="shared" ca="1" si="3"/>
        <v>No Bounes</v>
      </c>
      <c r="Q108" t="str">
        <f>TEXT(data[[#This Row],[Join_Date]],"mmmm")</f>
        <v>January</v>
      </c>
      <c r="R108" t="str">
        <f>TEXT(data[[#This Row],[Join_Date]],"yyyy")</f>
        <v>2020</v>
      </c>
    </row>
    <row r="109" spans="1:18">
      <c r="A109" s="8" t="s">
        <v>141</v>
      </c>
      <c r="B109" s="1" t="s">
        <v>19</v>
      </c>
      <c r="C109" s="1" t="s">
        <v>27</v>
      </c>
      <c r="D109" s="1" t="s">
        <v>28</v>
      </c>
      <c r="E109" s="5">
        <v>44860</v>
      </c>
      <c r="F109" s="1">
        <v>4.4000000000000004</v>
      </c>
      <c r="G109" s="1">
        <v>77774.3</v>
      </c>
      <c r="H109" s="1">
        <v>1</v>
      </c>
      <c r="I109" s="1">
        <v>8</v>
      </c>
      <c r="J109" s="1">
        <v>41</v>
      </c>
      <c r="K109" s="1">
        <v>2</v>
      </c>
      <c r="L109" s="1">
        <v>145</v>
      </c>
      <c r="M109" s="1">
        <v>1</v>
      </c>
      <c r="N109" s="2">
        <v>1</v>
      </c>
      <c r="O109" s="7">
        <f t="shared" ca="1" si="2"/>
        <v>3</v>
      </c>
      <c r="P109" s="6" t="str">
        <f t="shared" ca="1" si="3"/>
        <v>No Bounes</v>
      </c>
      <c r="Q109" t="str">
        <f>TEXT(data[[#This Row],[Join_Date]],"mmmm")</f>
        <v>October</v>
      </c>
      <c r="R109" t="str">
        <f>TEXT(data[[#This Row],[Join_Date]],"yyyy")</f>
        <v>2022</v>
      </c>
    </row>
    <row r="110" spans="1:18">
      <c r="A110" s="8" t="s">
        <v>142</v>
      </c>
      <c r="B110" s="1" t="s">
        <v>38</v>
      </c>
      <c r="C110" s="1" t="s">
        <v>23</v>
      </c>
      <c r="D110" s="1" t="s">
        <v>24</v>
      </c>
      <c r="E110" s="5">
        <v>44958</v>
      </c>
      <c r="F110" s="1">
        <v>12.2</v>
      </c>
      <c r="G110" s="1">
        <v>151059.32999999999</v>
      </c>
      <c r="H110" s="1">
        <v>3</v>
      </c>
      <c r="I110" s="1">
        <v>10</v>
      </c>
      <c r="J110" s="1">
        <v>29</v>
      </c>
      <c r="K110" s="1">
        <v>6</v>
      </c>
      <c r="L110" s="1">
        <v>135</v>
      </c>
      <c r="M110" s="1">
        <v>4</v>
      </c>
      <c r="N110" s="2">
        <v>1</v>
      </c>
      <c r="O110" s="7">
        <f t="shared" ca="1" si="2"/>
        <v>3</v>
      </c>
      <c r="P110" s="6" t="str">
        <f t="shared" ca="1" si="3"/>
        <v>No Bounes</v>
      </c>
      <c r="Q110" t="str">
        <f>TEXT(data[[#This Row],[Join_Date]],"mmmm")</f>
        <v>February</v>
      </c>
      <c r="R110" t="str">
        <f>TEXT(data[[#This Row],[Join_Date]],"yyyy")</f>
        <v>2023</v>
      </c>
    </row>
    <row r="111" spans="1:18">
      <c r="A111" s="8" t="s">
        <v>143</v>
      </c>
      <c r="B111" s="1" t="s">
        <v>30</v>
      </c>
      <c r="C111" s="1" t="s">
        <v>45</v>
      </c>
      <c r="D111" s="1" t="s">
        <v>28</v>
      </c>
      <c r="E111" s="5">
        <v>45287</v>
      </c>
      <c r="F111" s="1">
        <v>5.2</v>
      </c>
      <c r="G111" s="1">
        <v>162128.32000000001</v>
      </c>
      <c r="H111" s="1">
        <v>5</v>
      </c>
      <c r="I111" s="1">
        <v>10</v>
      </c>
      <c r="J111" s="1">
        <v>23</v>
      </c>
      <c r="K111" s="1">
        <v>8</v>
      </c>
      <c r="L111" s="1">
        <v>109</v>
      </c>
      <c r="M111" s="1">
        <v>9</v>
      </c>
      <c r="N111" s="2">
        <v>1</v>
      </c>
      <c r="O111" s="7">
        <f t="shared" ca="1" si="2"/>
        <v>2</v>
      </c>
      <c r="P111" s="6" t="str">
        <f t="shared" ca="1" si="3"/>
        <v>No Bounes</v>
      </c>
      <c r="Q111" t="str">
        <f>TEXT(data[[#This Row],[Join_Date]],"mmmm")</f>
        <v>December</v>
      </c>
      <c r="R111" t="str">
        <f>TEXT(data[[#This Row],[Join_Date]],"yyyy")</f>
        <v>2023</v>
      </c>
    </row>
    <row r="112" spans="1:18">
      <c r="A112" s="8" t="s">
        <v>144</v>
      </c>
      <c r="B112" s="1" t="s">
        <v>19</v>
      </c>
      <c r="C112" s="1" t="s">
        <v>23</v>
      </c>
      <c r="D112" s="1" t="s">
        <v>28</v>
      </c>
      <c r="E112" s="5">
        <v>44624</v>
      </c>
      <c r="F112" s="1">
        <v>6.8</v>
      </c>
      <c r="G112" s="1">
        <v>141563.64000000001</v>
      </c>
      <c r="H112" s="1">
        <v>5</v>
      </c>
      <c r="I112" s="1">
        <v>13</v>
      </c>
      <c r="J112" s="1">
        <v>34</v>
      </c>
      <c r="K112" s="1">
        <v>4</v>
      </c>
      <c r="L112" s="1">
        <v>103</v>
      </c>
      <c r="M112" s="1">
        <v>10</v>
      </c>
      <c r="N112" s="2">
        <v>8</v>
      </c>
      <c r="O112" s="7">
        <f t="shared" ca="1" si="2"/>
        <v>4</v>
      </c>
      <c r="P112" s="6" t="str">
        <f t="shared" ca="1" si="3"/>
        <v>No Bounes</v>
      </c>
      <c r="Q112" t="str">
        <f>TEXT(data[[#This Row],[Join_Date]],"mmmm")</f>
        <v>March</v>
      </c>
      <c r="R112" t="str">
        <f>TEXT(data[[#This Row],[Join_Date]],"yyyy")</f>
        <v>2022</v>
      </c>
    </row>
    <row r="113" spans="1:18">
      <c r="A113" s="8" t="s">
        <v>145</v>
      </c>
      <c r="B113" s="1" t="s">
        <v>38</v>
      </c>
      <c r="C113" s="1" t="s">
        <v>27</v>
      </c>
      <c r="D113" s="1" t="s">
        <v>28</v>
      </c>
      <c r="E113" s="5">
        <v>44727</v>
      </c>
      <c r="F113" s="1">
        <v>7.8</v>
      </c>
      <c r="G113" s="1">
        <v>86630.28</v>
      </c>
      <c r="H113" s="1">
        <v>4</v>
      </c>
      <c r="I113" s="1">
        <v>13</v>
      </c>
      <c r="J113" s="1">
        <v>41</v>
      </c>
      <c r="K113" s="1">
        <v>2</v>
      </c>
      <c r="L113" s="1">
        <v>107</v>
      </c>
      <c r="M113" s="1">
        <v>10</v>
      </c>
      <c r="N113" s="2">
        <v>3</v>
      </c>
      <c r="O113" s="7">
        <f t="shared" ca="1" si="2"/>
        <v>4</v>
      </c>
      <c r="P113" s="6" t="str">
        <f t="shared" ca="1" si="3"/>
        <v>No Bounes</v>
      </c>
      <c r="Q113" t="str">
        <f>TEXT(data[[#This Row],[Join_Date]],"mmmm")</f>
        <v>June</v>
      </c>
      <c r="R113" t="str">
        <f>TEXT(data[[#This Row],[Join_Date]],"yyyy")</f>
        <v>2022</v>
      </c>
    </row>
    <row r="114" spans="1:18">
      <c r="A114" s="8" t="s">
        <v>146</v>
      </c>
      <c r="B114" s="1" t="s">
        <v>30</v>
      </c>
      <c r="C114" s="1" t="s">
        <v>20</v>
      </c>
      <c r="D114" s="1" t="s">
        <v>36</v>
      </c>
      <c r="E114" s="5">
        <v>44021</v>
      </c>
      <c r="F114" s="1">
        <v>8.3000000000000007</v>
      </c>
      <c r="G114" s="1">
        <v>119933.39</v>
      </c>
      <c r="H114" s="1">
        <v>1</v>
      </c>
      <c r="I114" s="1">
        <v>14</v>
      </c>
      <c r="J114" s="1">
        <v>40</v>
      </c>
      <c r="K114" s="1">
        <v>5</v>
      </c>
      <c r="L114" s="1">
        <v>62</v>
      </c>
      <c r="M114" s="1">
        <v>2</v>
      </c>
      <c r="N114" s="2">
        <v>8</v>
      </c>
      <c r="O114" s="7">
        <f t="shared" ca="1" si="2"/>
        <v>6</v>
      </c>
      <c r="P114" s="6" t="str">
        <f t="shared" ca="1" si="3"/>
        <v>No Bounes</v>
      </c>
      <c r="Q114" t="str">
        <f>TEXT(data[[#This Row],[Join_Date]],"mmmm")</f>
        <v>July</v>
      </c>
      <c r="R114" t="str">
        <f>TEXT(data[[#This Row],[Join_Date]],"yyyy")</f>
        <v>2020</v>
      </c>
    </row>
    <row r="115" spans="1:18">
      <c r="A115" s="8" t="s">
        <v>147</v>
      </c>
      <c r="B115" s="1" t="s">
        <v>19</v>
      </c>
      <c r="C115" s="1" t="s">
        <v>39</v>
      </c>
      <c r="D115" s="1" t="s">
        <v>24</v>
      </c>
      <c r="E115" s="5">
        <v>44730</v>
      </c>
      <c r="F115" s="1">
        <v>1.3</v>
      </c>
      <c r="G115" s="1">
        <v>51096.76</v>
      </c>
      <c r="H115" s="1">
        <v>4</v>
      </c>
      <c r="I115" s="1">
        <v>5</v>
      </c>
      <c r="J115" s="1">
        <v>33</v>
      </c>
      <c r="K115" s="1">
        <v>4</v>
      </c>
      <c r="L115" s="1">
        <v>103</v>
      </c>
      <c r="M115" s="1">
        <v>8</v>
      </c>
      <c r="N115" s="2">
        <v>4</v>
      </c>
      <c r="O115" s="7">
        <f t="shared" ca="1" si="2"/>
        <v>4</v>
      </c>
      <c r="P115" s="6" t="str">
        <f t="shared" ca="1" si="3"/>
        <v>No Bounes</v>
      </c>
      <c r="Q115" t="str">
        <f>TEXT(data[[#This Row],[Join_Date]],"mmmm")</f>
        <v>June</v>
      </c>
      <c r="R115" t="str">
        <f>TEXT(data[[#This Row],[Join_Date]],"yyyy")</f>
        <v>2022</v>
      </c>
    </row>
    <row r="116" spans="1:18">
      <c r="A116" s="8" t="s">
        <v>148</v>
      </c>
      <c r="B116" s="1" t="s">
        <v>59</v>
      </c>
      <c r="C116" s="1" t="s">
        <v>27</v>
      </c>
      <c r="D116" s="1" t="s">
        <v>31</v>
      </c>
      <c r="E116" s="5">
        <v>44147</v>
      </c>
      <c r="F116" s="1">
        <v>12.7</v>
      </c>
      <c r="G116" s="1">
        <v>109834.52</v>
      </c>
      <c r="H116" s="1">
        <v>2</v>
      </c>
      <c r="I116" s="1">
        <v>10</v>
      </c>
      <c r="J116" s="1">
        <v>56</v>
      </c>
      <c r="K116" s="1">
        <v>5</v>
      </c>
      <c r="L116" s="1">
        <v>131</v>
      </c>
      <c r="M116" s="1">
        <v>10</v>
      </c>
      <c r="N116" s="2">
        <v>2</v>
      </c>
      <c r="O116" s="7">
        <f t="shared" ca="1" si="2"/>
        <v>5</v>
      </c>
      <c r="P116" s="6" t="str">
        <f t="shared" ca="1" si="3"/>
        <v>No Bounes</v>
      </c>
      <c r="Q116" t="str">
        <f>TEXT(data[[#This Row],[Join_Date]],"mmmm")</f>
        <v>November</v>
      </c>
      <c r="R116" t="str">
        <f>TEXT(data[[#This Row],[Join_Date]],"yyyy")</f>
        <v>2020</v>
      </c>
    </row>
    <row r="117" spans="1:18">
      <c r="A117" s="8" t="s">
        <v>149</v>
      </c>
      <c r="B117" s="1" t="s">
        <v>59</v>
      </c>
      <c r="C117" s="1" t="s">
        <v>20</v>
      </c>
      <c r="D117" s="1" t="s">
        <v>36</v>
      </c>
      <c r="E117" s="5">
        <v>44619</v>
      </c>
      <c r="F117" s="1">
        <v>6.8</v>
      </c>
      <c r="G117" s="1">
        <v>122576.75</v>
      </c>
      <c r="H117" s="1">
        <v>3</v>
      </c>
      <c r="I117" s="1">
        <v>9</v>
      </c>
      <c r="J117" s="1">
        <v>54</v>
      </c>
      <c r="K117" s="1">
        <v>1</v>
      </c>
      <c r="L117" s="1">
        <v>82</v>
      </c>
      <c r="M117" s="1">
        <v>3</v>
      </c>
      <c r="N117" s="2">
        <v>9</v>
      </c>
      <c r="O117" s="7">
        <f t="shared" ca="1" si="2"/>
        <v>4</v>
      </c>
      <c r="P117" s="6" t="str">
        <f t="shared" ca="1" si="3"/>
        <v>No Bounes</v>
      </c>
      <c r="Q117" t="str">
        <f>TEXT(data[[#This Row],[Join_Date]],"mmmm")</f>
        <v>February</v>
      </c>
      <c r="R117" t="str">
        <f>TEXT(data[[#This Row],[Join_Date]],"yyyy")</f>
        <v>2022</v>
      </c>
    </row>
    <row r="118" spans="1:18">
      <c r="A118" s="8" t="s">
        <v>150</v>
      </c>
      <c r="B118" s="1" t="s">
        <v>19</v>
      </c>
      <c r="C118" s="1" t="s">
        <v>27</v>
      </c>
      <c r="D118" s="1" t="s">
        <v>21</v>
      </c>
      <c r="E118" s="5">
        <v>43887</v>
      </c>
      <c r="F118" s="1">
        <v>10.9</v>
      </c>
      <c r="G118" s="1">
        <v>105831.4</v>
      </c>
      <c r="H118" s="1">
        <v>2</v>
      </c>
      <c r="I118" s="1">
        <v>12</v>
      </c>
      <c r="J118" s="1">
        <v>38</v>
      </c>
      <c r="K118" s="1">
        <v>6</v>
      </c>
      <c r="L118" s="1">
        <v>111</v>
      </c>
      <c r="M118" s="1">
        <v>5</v>
      </c>
      <c r="N118" s="2">
        <v>7</v>
      </c>
      <c r="O118" s="7">
        <f t="shared" ca="1" si="2"/>
        <v>6</v>
      </c>
      <c r="P118" s="6" t="str">
        <f t="shared" ca="1" si="3"/>
        <v>Get Bounes</v>
      </c>
      <c r="Q118" t="str">
        <f>TEXT(data[[#This Row],[Join_Date]],"mmmm")</f>
        <v>February</v>
      </c>
      <c r="R118" t="str">
        <f>TEXT(data[[#This Row],[Join_Date]],"yyyy")</f>
        <v>2020</v>
      </c>
    </row>
    <row r="119" spans="1:18">
      <c r="A119" s="8" t="s">
        <v>151</v>
      </c>
      <c r="B119" s="1" t="s">
        <v>38</v>
      </c>
      <c r="C119" s="1" t="s">
        <v>39</v>
      </c>
      <c r="D119" s="1" t="s">
        <v>28</v>
      </c>
      <c r="E119" s="5">
        <v>43878</v>
      </c>
      <c r="F119" s="1">
        <v>13.7</v>
      </c>
      <c r="G119" s="1">
        <v>72090.899999999994</v>
      </c>
      <c r="H119" s="1">
        <v>5</v>
      </c>
      <c r="I119" s="1">
        <v>12</v>
      </c>
      <c r="J119" s="1">
        <v>46</v>
      </c>
      <c r="K119" s="1">
        <v>6</v>
      </c>
      <c r="L119" s="1">
        <v>144</v>
      </c>
      <c r="M119" s="1">
        <v>4</v>
      </c>
      <c r="N119" s="2">
        <v>10</v>
      </c>
      <c r="O119" s="7">
        <f t="shared" ca="1" si="2"/>
        <v>6</v>
      </c>
      <c r="P119" s="6" t="str">
        <f t="shared" ca="1" si="3"/>
        <v>Get Bounes</v>
      </c>
      <c r="Q119" t="str">
        <f>TEXT(data[[#This Row],[Join_Date]],"mmmm")</f>
        <v>February</v>
      </c>
      <c r="R119" t="str">
        <f>TEXT(data[[#This Row],[Join_Date]],"yyyy")</f>
        <v>2020</v>
      </c>
    </row>
    <row r="120" spans="1:18">
      <c r="A120" s="8" t="s">
        <v>152</v>
      </c>
      <c r="B120" s="1" t="s">
        <v>30</v>
      </c>
      <c r="C120" s="1" t="s">
        <v>45</v>
      </c>
      <c r="D120" s="1" t="s">
        <v>24</v>
      </c>
      <c r="E120" s="5">
        <v>44557</v>
      </c>
      <c r="F120" s="1">
        <v>14.7</v>
      </c>
      <c r="G120" s="1">
        <v>226220.87</v>
      </c>
      <c r="H120" s="1">
        <v>4</v>
      </c>
      <c r="I120" s="1">
        <v>12</v>
      </c>
      <c r="J120" s="1">
        <v>49</v>
      </c>
      <c r="K120" s="1">
        <v>5</v>
      </c>
      <c r="L120" s="1">
        <v>82</v>
      </c>
      <c r="M120" s="1">
        <v>9</v>
      </c>
      <c r="N120" s="2">
        <v>7</v>
      </c>
      <c r="O120" s="7">
        <f t="shared" ca="1" si="2"/>
        <v>4</v>
      </c>
      <c r="P120" s="6" t="str">
        <f t="shared" ca="1" si="3"/>
        <v>No Bounes</v>
      </c>
      <c r="Q120" t="str">
        <f>TEXT(data[[#This Row],[Join_Date]],"mmmm")</f>
        <v>December</v>
      </c>
      <c r="R120" t="str">
        <f>TEXT(data[[#This Row],[Join_Date]],"yyyy")</f>
        <v>2021</v>
      </c>
    </row>
    <row r="121" spans="1:18">
      <c r="A121" s="8" t="s">
        <v>153</v>
      </c>
      <c r="B121" s="1" t="s">
        <v>59</v>
      </c>
      <c r="C121" s="1" t="s">
        <v>23</v>
      </c>
      <c r="D121" s="1" t="s">
        <v>28</v>
      </c>
      <c r="E121" s="5">
        <v>44506</v>
      </c>
      <c r="F121" s="1">
        <v>5.3</v>
      </c>
      <c r="G121" s="1">
        <v>137728.54</v>
      </c>
      <c r="H121" s="1">
        <v>5</v>
      </c>
      <c r="I121" s="1">
        <v>8</v>
      </c>
      <c r="J121" s="1">
        <v>47</v>
      </c>
      <c r="K121" s="1">
        <v>0</v>
      </c>
      <c r="L121" s="1">
        <v>60</v>
      </c>
      <c r="M121" s="1">
        <v>7</v>
      </c>
      <c r="N121" s="2">
        <v>5</v>
      </c>
      <c r="O121" s="7">
        <f t="shared" ca="1" si="2"/>
        <v>4</v>
      </c>
      <c r="P121" s="6" t="str">
        <f t="shared" ca="1" si="3"/>
        <v>No Bounes</v>
      </c>
      <c r="Q121" t="str">
        <f>TEXT(data[[#This Row],[Join_Date]],"mmmm")</f>
        <v>November</v>
      </c>
      <c r="R121" t="str">
        <f>TEXT(data[[#This Row],[Join_Date]],"yyyy")</f>
        <v>2021</v>
      </c>
    </row>
    <row r="122" spans="1:18">
      <c r="A122" s="8" t="s">
        <v>154</v>
      </c>
      <c r="B122" s="1" t="s">
        <v>26</v>
      </c>
      <c r="C122" s="1" t="s">
        <v>20</v>
      </c>
      <c r="D122" s="1" t="s">
        <v>21</v>
      </c>
      <c r="E122" s="5">
        <v>44454</v>
      </c>
      <c r="F122" s="1">
        <v>12.2</v>
      </c>
      <c r="G122" s="1">
        <v>140234.69</v>
      </c>
      <c r="H122" s="1">
        <v>5</v>
      </c>
      <c r="I122" s="1">
        <v>7</v>
      </c>
      <c r="J122" s="1">
        <v>37</v>
      </c>
      <c r="K122" s="1">
        <v>0</v>
      </c>
      <c r="L122" s="1">
        <v>137</v>
      </c>
      <c r="M122" s="1">
        <v>2</v>
      </c>
      <c r="N122" s="2">
        <v>7</v>
      </c>
      <c r="O122" s="7">
        <f t="shared" ca="1" si="2"/>
        <v>5</v>
      </c>
      <c r="P122" s="6" t="str">
        <f t="shared" ca="1" si="3"/>
        <v>No Bounes</v>
      </c>
      <c r="Q122" t="str">
        <f>TEXT(data[[#This Row],[Join_Date]],"mmmm")</f>
        <v>September</v>
      </c>
      <c r="R122" t="str">
        <f>TEXT(data[[#This Row],[Join_Date]],"yyyy")</f>
        <v>2021</v>
      </c>
    </row>
    <row r="123" spans="1:18">
      <c r="A123" s="8" t="s">
        <v>155</v>
      </c>
      <c r="B123" s="1" t="s">
        <v>26</v>
      </c>
      <c r="C123" s="1" t="s">
        <v>27</v>
      </c>
      <c r="D123" s="1" t="s">
        <v>36</v>
      </c>
      <c r="E123" s="5">
        <v>44661</v>
      </c>
      <c r="F123" s="1">
        <v>12.4</v>
      </c>
      <c r="G123" s="1">
        <v>112224.84</v>
      </c>
      <c r="H123" s="1">
        <v>4</v>
      </c>
      <c r="I123" s="1">
        <v>11</v>
      </c>
      <c r="J123" s="1">
        <v>59</v>
      </c>
      <c r="K123" s="1">
        <v>7</v>
      </c>
      <c r="L123" s="1">
        <v>130</v>
      </c>
      <c r="M123" s="1">
        <v>2</v>
      </c>
      <c r="N123" s="2">
        <v>10</v>
      </c>
      <c r="O123" s="7">
        <f t="shared" ca="1" si="2"/>
        <v>4</v>
      </c>
      <c r="P123" s="6" t="str">
        <f t="shared" ca="1" si="3"/>
        <v>No Bounes</v>
      </c>
      <c r="Q123" t="str">
        <f>TEXT(data[[#This Row],[Join_Date]],"mmmm")</f>
        <v>April</v>
      </c>
      <c r="R123" t="str">
        <f>TEXT(data[[#This Row],[Join_Date]],"yyyy")</f>
        <v>2022</v>
      </c>
    </row>
    <row r="124" spans="1:18">
      <c r="A124" s="8" t="s">
        <v>156</v>
      </c>
      <c r="B124" s="1" t="s">
        <v>26</v>
      </c>
      <c r="C124" s="1" t="s">
        <v>27</v>
      </c>
      <c r="D124" s="1" t="s">
        <v>24</v>
      </c>
      <c r="E124" s="5">
        <v>44947</v>
      </c>
      <c r="F124" s="1">
        <v>4.7</v>
      </c>
      <c r="G124" s="1">
        <v>87806.67</v>
      </c>
      <c r="H124" s="1">
        <v>3</v>
      </c>
      <c r="I124" s="1">
        <v>16</v>
      </c>
      <c r="J124" s="1">
        <v>34</v>
      </c>
      <c r="K124" s="1">
        <v>1</v>
      </c>
      <c r="L124" s="1">
        <v>93</v>
      </c>
      <c r="M124" s="1">
        <v>6</v>
      </c>
      <c r="N124" s="2">
        <v>2</v>
      </c>
      <c r="O124" s="7">
        <f t="shared" ca="1" si="2"/>
        <v>3</v>
      </c>
      <c r="P124" s="6" t="str">
        <f t="shared" ca="1" si="3"/>
        <v>No Bounes</v>
      </c>
      <c r="Q124" t="str">
        <f>TEXT(data[[#This Row],[Join_Date]],"mmmm")</f>
        <v>January</v>
      </c>
      <c r="R124" t="str">
        <f>TEXT(data[[#This Row],[Join_Date]],"yyyy")</f>
        <v>2023</v>
      </c>
    </row>
    <row r="125" spans="1:18">
      <c r="A125" s="8" t="s">
        <v>157</v>
      </c>
      <c r="B125" s="1" t="s">
        <v>49</v>
      </c>
      <c r="C125" s="1" t="s">
        <v>27</v>
      </c>
      <c r="D125" s="1" t="s">
        <v>21</v>
      </c>
      <c r="E125" s="5">
        <v>44430</v>
      </c>
      <c r="F125" s="1">
        <v>6.6</v>
      </c>
      <c r="G125" s="1">
        <v>93861.79</v>
      </c>
      <c r="H125" s="1">
        <v>2</v>
      </c>
      <c r="I125" s="1">
        <v>7</v>
      </c>
      <c r="J125" s="1">
        <v>37</v>
      </c>
      <c r="K125" s="1">
        <v>2</v>
      </c>
      <c r="L125" s="1">
        <v>117</v>
      </c>
      <c r="M125" s="1">
        <v>4</v>
      </c>
      <c r="N125" s="2">
        <v>2</v>
      </c>
      <c r="O125" s="7">
        <f t="shared" ca="1" si="2"/>
        <v>5</v>
      </c>
      <c r="P125" s="6" t="str">
        <f t="shared" ca="1" si="3"/>
        <v>No Bounes</v>
      </c>
      <c r="Q125" t="str">
        <f>TEXT(data[[#This Row],[Join_Date]],"mmmm")</f>
        <v>August</v>
      </c>
      <c r="R125" t="str">
        <f>TEXT(data[[#This Row],[Join_Date]],"yyyy")</f>
        <v>2021</v>
      </c>
    </row>
    <row r="126" spans="1:18">
      <c r="A126" s="8" t="s">
        <v>158</v>
      </c>
      <c r="B126" s="1" t="s">
        <v>59</v>
      </c>
      <c r="C126" s="1" t="s">
        <v>23</v>
      </c>
      <c r="D126" s="1" t="s">
        <v>31</v>
      </c>
      <c r="E126" s="5">
        <v>44688</v>
      </c>
      <c r="F126" s="1">
        <v>10.199999999999999</v>
      </c>
      <c r="G126" s="1">
        <v>145947.51999999999</v>
      </c>
      <c r="H126" s="1">
        <v>4</v>
      </c>
      <c r="I126" s="1">
        <v>11</v>
      </c>
      <c r="J126" s="1">
        <v>39</v>
      </c>
      <c r="K126" s="1">
        <v>5</v>
      </c>
      <c r="L126" s="1">
        <v>95</v>
      </c>
      <c r="M126" s="1">
        <v>3</v>
      </c>
      <c r="N126" s="2">
        <v>4</v>
      </c>
      <c r="O126" s="7">
        <f t="shared" ca="1" si="2"/>
        <v>4</v>
      </c>
      <c r="P126" s="6" t="str">
        <f t="shared" ca="1" si="3"/>
        <v>No Bounes</v>
      </c>
      <c r="Q126" t="str">
        <f>TEXT(data[[#This Row],[Join_Date]],"mmmm")</f>
        <v>May</v>
      </c>
      <c r="R126" t="str">
        <f>TEXT(data[[#This Row],[Join_Date]],"yyyy")</f>
        <v>2022</v>
      </c>
    </row>
    <row r="127" spans="1:18">
      <c r="A127" s="8" t="s">
        <v>159</v>
      </c>
      <c r="B127" s="1" t="s">
        <v>26</v>
      </c>
      <c r="C127" s="1" t="s">
        <v>27</v>
      </c>
      <c r="D127" s="1" t="s">
        <v>28</v>
      </c>
      <c r="E127" s="5">
        <v>44586</v>
      </c>
      <c r="F127" s="1">
        <v>13.8</v>
      </c>
      <c r="G127" s="1">
        <v>99956.479999999996</v>
      </c>
      <c r="H127" s="1">
        <v>3</v>
      </c>
      <c r="I127" s="1">
        <v>12</v>
      </c>
      <c r="J127" s="1">
        <v>40</v>
      </c>
      <c r="K127" s="1">
        <v>4</v>
      </c>
      <c r="L127" s="1">
        <v>127</v>
      </c>
      <c r="M127" s="1">
        <v>1</v>
      </c>
      <c r="N127" s="2">
        <v>6</v>
      </c>
      <c r="O127" s="7">
        <f t="shared" ca="1" si="2"/>
        <v>4</v>
      </c>
      <c r="P127" s="6" t="str">
        <f t="shared" ca="1" si="3"/>
        <v>No Bounes</v>
      </c>
      <c r="Q127" t="str">
        <f>TEXT(data[[#This Row],[Join_Date]],"mmmm")</f>
        <v>January</v>
      </c>
      <c r="R127" t="str">
        <f>TEXT(data[[#This Row],[Join_Date]],"yyyy")</f>
        <v>2022</v>
      </c>
    </row>
    <row r="128" spans="1:18">
      <c r="A128" s="8" t="s">
        <v>160</v>
      </c>
      <c r="B128" s="1" t="s">
        <v>49</v>
      </c>
      <c r="C128" s="1" t="s">
        <v>20</v>
      </c>
      <c r="D128" s="1" t="s">
        <v>31</v>
      </c>
      <c r="E128" s="5">
        <v>45227</v>
      </c>
      <c r="F128" s="1">
        <v>11.4</v>
      </c>
      <c r="G128" s="1">
        <v>136168.9</v>
      </c>
      <c r="H128" s="1">
        <v>5</v>
      </c>
      <c r="I128" s="1">
        <v>13</v>
      </c>
      <c r="J128" s="1">
        <v>53</v>
      </c>
      <c r="K128" s="1">
        <v>3</v>
      </c>
      <c r="L128" s="1">
        <v>83</v>
      </c>
      <c r="M128" s="1">
        <v>10</v>
      </c>
      <c r="N128" s="2">
        <v>1</v>
      </c>
      <c r="O128" s="7">
        <f t="shared" ca="1" si="2"/>
        <v>2</v>
      </c>
      <c r="P128" s="6" t="str">
        <f t="shared" ca="1" si="3"/>
        <v>No Bounes</v>
      </c>
      <c r="Q128" t="str">
        <f>TEXT(data[[#This Row],[Join_Date]],"mmmm")</f>
        <v>October</v>
      </c>
      <c r="R128" t="str">
        <f>TEXT(data[[#This Row],[Join_Date]],"yyyy")</f>
        <v>2023</v>
      </c>
    </row>
    <row r="129" spans="1:18">
      <c r="A129" s="8" t="s">
        <v>161</v>
      </c>
      <c r="B129" s="1" t="s">
        <v>30</v>
      </c>
      <c r="C129" s="1" t="s">
        <v>20</v>
      </c>
      <c r="D129" s="1" t="s">
        <v>24</v>
      </c>
      <c r="E129" s="5">
        <v>43831</v>
      </c>
      <c r="F129" s="1">
        <v>10.7</v>
      </c>
      <c r="G129" s="1">
        <v>139870.96</v>
      </c>
      <c r="H129" s="1">
        <v>5</v>
      </c>
      <c r="I129" s="1">
        <v>4</v>
      </c>
      <c r="J129" s="1">
        <v>37</v>
      </c>
      <c r="K129" s="1">
        <v>5</v>
      </c>
      <c r="L129" s="1">
        <v>96</v>
      </c>
      <c r="M129" s="1">
        <v>4</v>
      </c>
      <c r="N129" s="2">
        <v>7</v>
      </c>
      <c r="O129" s="7">
        <f t="shared" ca="1" si="2"/>
        <v>6</v>
      </c>
      <c r="P129" s="6" t="str">
        <f t="shared" ca="1" si="3"/>
        <v>Get Bounes</v>
      </c>
      <c r="Q129" t="str">
        <f>TEXT(data[[#This Row],[Join_Date]],"mmmm")</f>
        <v>January</v>
      </c>
      <c r="R129" t="str">
        <f>TEXT(data[[#This Row],[Join_Date]],"yyyy")</f>
        <v>2020</v>
      </c>
    </row>
    <row r="130" spans="1:18">
      <c r="A130" s="8" t="s">
        <v>162</v>
      </c>
      <c r="B130" s="1" t="s">
        <v>38</v>
      </c>
      <c r="C130" s="1" t="s">
        <v>45</v>
      </c>
      <c r="D130" s="1" t="s">
        <v>28</v>
      </c>
      <c r="E130" s="5">
        <v>45194</v>
      </c>
      <c r="F130" s="1">
        <v>12.1</v>
      </c>
      <c r="G130" s="1">
        <v>177983.05</v>
      </c>
      <c r="H130" s="1">
        <v>5</v>
      </c>
      <c r="I130" s="1">
        <v>15</v>
      </c>
      <c r="J130" s="1">
        <v>35</v>
      </c>
      <c r="K130" s="1">
        <v>2</v>
      </c>
      <c r="L130" s="1">
        <v>117</v>
      </c>
      <c r="M130" s="1">
        <v>4</v>
      </c>
      <c r="N130" s="2">
        <v>5</v>
      </c>
      <c r="O130" s="7">
        <f t="shared" ca="1" si="2"/>
        <v>3</v>
      </c>
      <c r="P130" s="6" t="str">
        <f t="shared" ca="1" si="3"/>
        <v>No Bounes</v>
      </c>
      <c r="Q130" t="str">
        <f>TEXT(data[[#This Row],[Join_Date]],"mmmm")</f>
        <v>September</v>
      </c>
      <c r="R130" t="str">
        <f>TEXT(data[[#This Row],[Join_Date]],"yyyy")</f>
        <v>2023</v>
      </c>
    </row>
    <row r="131" spans="1:18">
      <c r="A131" s="8" t="s">
        <v>163</v>
      </c>
      <c r="B131" s="1" t="s">
        <v>19</v>
      </c>
      <c r="C131" s="1" t="s">
        <v>45</v>
      </c>
      <c r="D131" s="1" t="s">
        <v>31</v>
      </c>
      <c r="E131" s="5">
        <v>44679</v>
      </c>
      <c r="F131" s="1">
        <v>3.6</v>
      </c>
      <c r="G131" s="1">
        <v>155497.10999999999</v>
      </c>
      <c r="H131" s="1">
        <v>1</v>
      </c>
      <c r="I131" s="1">
        <v>10</v>
      </c>
      <c r="J131" s="1">
        <v>45</v>
      </c>
      <c r="K131" s="1">
        <v>5</v>
      </c>
      <c r="L131" s="1">
        <v>107</v>
      </c>
      <c r="M131" s="1">
        <v>9</v>
      </c>
      <c r="N131" s="2">
        <v>7</v>
      </c>
      <c r="O131" s="7">
        <f t="shared" ref="O131:O194" ca="1" si="4">DATEDIF(E131,TODAY(),"y")</f>
        <v>4</v>
      </c>
      <c r="P131" s="6" t="str">
        <f t="shared" ref="P131:P194" ca="1" si="5">IF(AND(O131&gt;5,F131&gt;10),"Get Bounes","No Bounes")</f>
        <v>No Bounes</v>
      </c>
      <c r="Q131" t="str">
        <f>TEXT(data[[#This Row],[Join_Date]],"mmmm")</f>
        <v>April</v>
      </c>
      <c r="R131" t="str">
        <f>TEXT(data[[#This Row],[Join_Date]],"yyyy")</f>
        <v>2022</v>
      </c>
    </row>
    <row r="132" spans="1:18">
      <c r="A132" s="8" t="s">
        <v>164</v>
      </c>
      <c r="B132" s="1" t="s">
        <v>26</v>
      </c>
      <c r="C132" s="1" t="s">
        <v>45</v>
      </c>
      <c r="D132" s="1" t="s">
        <v>36</v>
      </c>
      <c r="E132" s="5">
        <v>44082</v>
      </c>
      <c r="F132" s="1">
        <v>10</v>
      </c>
      <c r="G132" s="1">
        <v>196889.85</v>
      </c>
      <c r="H132" s="1">
        <v>5</v>
      </c>
      <c r="I132" s="1">
        <v>3</v>
      </c>
      <c r="J132" s="1">
        <v>32</v>
      </c>
      <c r="K132" s="1">
        <v>3</v>
      </c>
      <c r="L132" s="1">
        <v>89</v>
      </c>
      <c r="M132" s="1">
        <v>10</v>
      </c>
      <c r="N132" s="2">
        <v>7</v>
      </c>
      <c r="O132" s="7">
        <f t="shared" ca="1" si="4"/>
        <v>6</v>
      </c>
      <c r="P132" s="6" t="str">
        <f t="shared" ca="1" si="5"/>
        <v>No Bounes</v>
      </c>
      <c r="Q132" t="str">
        <f>TEXT(data[[#This Row],[Join_Date]],"mmmm")</f>
        <v>September</v>
      </c>
      <c r="R132" t="str">
        <f>TEXT(data[[#This Row],[Join_Date]],"yyyy")</f>
        <v>2020</v>
      </c>
    </row>
    <row r="133" spans="1:18">
      <c r="A133" s="8" t="s">
        <v>165</v>
      </c>
      <c r="B133" s="1" t="s">
        <v>38</v>
      </c>
      <c r="C133" s="1" t="s">
        <v>20</v>
      </c>
      <c r="D133" s="1" t="s">
        <v>28</v>
      </c>
      <c r="E133" s="5">
        <v>45048</v>
      </c>
      <c r="F133" s="1">
        <v>1.2</v>
      </c>
      <c r="G133" s="1">
        <v>91601.96</v>
      </c>
      <c r="H133" s="1">
        <v>1</v>
      </c>
      <c r="I133" s="1">
        <v>8</v>
      </c>
      <c r="J133" s="1">
        <v>44</v>
      </c>
      <c r="K133" s="1">
        <v>6</v>
      </c>
      <c r="L133" s="1">
        <v>66</v>
      </c>
      <c r="M133" s="1">
        <v>3</v>
      </c>
      <c r="N133" s="2">
        <v>8</v>
      </c>
      <c r="O133" s="7">
        <f t="shared" ca="1" si="4"/>
        <v>3</v>
      </c>
      <c r="P133" s="6" t="str">
        <f t="shared" ca="1" si="5"/>
        <v>No Bounes</v>
      </c>
      <c r="Q133" t="str">
        <f>TEXT(data[[#This Row],[Join_Date]],"mmmm")</f>
        <v>May</v>
      </c>
      <c r="R133" t="str">
        <f>TEXT(data[[#This Row],[Join_Date]],"yyyy")</f>
        <v>2023</v>
      </c>
    </row>
    <row r="134" spans="1:18">
      <c r="A134" s="8" t="s">
        <v>166</v>
      </c>
      <c r="B134" s="1" t="s">
        <v>59</v>
      </c>
      <c r="C134" s="1" t="s">
        <v>20</v>
      </c>
      <c r="D134" s="1" t="s">
        <v>36</v>
      </c>
      <c r="E134" s="5">
        <v>45290</v>
      </c>
      <c r="F134" s="1">
        <v>3.4</v>
      </c>
      <c r="G134" s="1">
        <v>93365.31</v>
      </c>
      <c r="H134" s="1">
        <v>4</v>
      </c>
      <c r="I134" s="1">
        <v>12</v>
      </c>
      <c r="J134" s="1">
        <v>45</v>
      </c>
      <c r="K134" s="1">
        <v>5</v>
      </c>
      <c r="L134" s="1">
        <v>57</v>
      </c>
      <c r="M134" s="1">
        <v>6</v>
      </c>
      <c r="N134" s="2">
        <v>3</v>
      </c>
      <c r="O134" s="7">
        <f t="shared" ca="1" si="4"/>
        <v>2</v>
      </c>
      <c r="P134" s="6" t="str">
        <f t="shared" ca="1" si="5"/>
        <v>No Bounes</v>
      </c>
      <c r="Q134" t="str">
        <f>TEXT(data[[#This Row],[Join_Date]],"mmmm")</f>
        <v>December</v>
      </c>
      <c r="R134" t="str">
        <f>TEXT(data[[#This Row],[Join_Date]],"yyyy")</f>
        <v>2023</v>
      </c>
    </row>
    <row r="135" spans="1:18">
      <c r="A135" s="8" t="s">
        <v>167</v>
      </c>
      <c r="B135" s="1" t="s">
        <v>59</v>
      </c>
      <c r="C135" s="1" t="s">
        <v>23</v>
      </c>
      <c r="D135" s="1" t="s">
        <v>31</v>
      </c>
      <c r="E135" s="5">
        <v>44068</v>
      </c>
      <c r="F135" s="1">
        <v>4.0999999999999996</v>
      </c>
      <c r="G135" s="1">
        <v>125533.42</v>
      </c>
      <c r="H135" s="1">
        <v>1</v>
      </c>
      <c r="I135" s="1">
        <v>11</v>
      </c>
      <c r="J135" s="1">
        <v>40</v>
      </c>
      <c r="K135" s="1">
        <v>6</v>
      </c>
      <c r="L135" s="1">
        <v>153</v>
      </c>
      <c r="M135" s="1">
        <v>5</v>
      </c>
      <c r="N135" s="2">
        <v>3</v>
      </c>
      <c r="O135" s="7">
        <f t="shared" ca="1" si="4"/>
        <v>6</v>
      </c>
      <c r="P135" s="6" t="str">
        <f t="shared" ca="1" si="5"/>
        <v>No Bounes</v>
      </c>
      <c r="Q135" t="str">
        <f>TEXT(data[[#This Row],[Join_Date]],"mmmm")</f>
        <v>August</v>
      </c>
      <c r="R135" t="str">
        <f>TEXT(data[[#This Row],[Join_Date]],"yyyy")</f>
        <v>2020</v>
      </c>
    </row>
    <row r="136" spans="1:18">
      <c r="A136" s="8" t="s">
        <v>168</v>
      </c>
      <c r="B136" s="1" t="s">
        <v>38</v>
      </c>
      <c r="C136" s="1" t="s">
        <v>27</v>
      </c>
      <c r="D136" s="1" t="s">
        <v>24</v>
      </c>
      <c r="E136" s="5">
        <v>45126</v>
      </c>
      <c r="F136" s="1">
        <v>3.2</v>
      </c>
      <c r="G136" s="1">
        <v>77940.37</v>
      </c>
      <c r="H136" s="1">
        <v>4</v>
      </c>
      <c r="I136" s="1">
        <v>14</v>
      </c>
      <c r="J136" s="1">
        <v>41</v>
      </c>
      <c r="K136" s="1">
        <v>4</v>
      </c>
      <c r="L136" s="1">
        <v>118</v>
      </c>
      <c r="M136" s="1">
        <v>9</v>
      </c>
      <c r="N136" s="2">
        <v>9</v>
      </c>
      <c r="O136" s="7">
        <f t="shared" ca="1" si="4"/>
        <v>3</v>
      </c>
      <c r="P136" s="6" t="str">
        <f t="shared" ca="1" si="5"/>
        <v>No Bounes</v>
      </c>
      <c r="Q136" t="str">
        <f>TEXT(data[[#This Row],[Join_Date]],"mmmm")</f>
        <v>July</v>
      </c>
      <c r="R136" t="str">
        <f>TEXT(data[[#This Row],[Join_Date]],"yyyy")</f>
        <v>2023</v>
      </c>
    </row>
    <row r="137" spans="1:18">
      <c r="A137" s="8" t="s">
        <v>169</v>
      </c>
      <c r="B137" s="1" t="s">
        <v>59</v>
      </c>
      <c r="C137" s="1" t="s">
        <v>20</v>
      </c>
      <c r="D137" s="1" t="s">
        <v>36</v>
      </c>
      <c r="E137" s="5">
        <v>44256</v>
      </c>
      <c r="F137" s="1">
        <v>7.6</v>
      </c>
      <c r="G137" s="1">
        <v>116682.18</v>
      </c>
      <c r="H137" s="1">
        <v>3</v>
      </c>
      <c r="I137" s="1">
        <v>6</v>
      </c>
      <c r="J137" s="1">
        <v>25</v>
      </c>
      <c r="K137" s="1">
        <v>4</v>
      </c>
      <c r="L137" s="1">
        <v>136</v>
      </c>
      <c r="M137" s="1">
        <v>5</v>
      </c>
      <c r="N137" s="2">
        <v>1</v>
      </c>
      <c r="O137" s="7">
        <f t="shared" ca="1" si="4"/>
        <v>5</v>
      </c>
      <c r="P137" s="6" t="str">
        <f t="shared" ca="1" si="5"/>
        <v>No Bounes</v>
      </c>
      <c r="Q137" t="str">
        <f>TEXT(data[[#This Row],[Join_Date]],"mmmm")</f>
        <v>March</v>
      </c>
      <c r="R137" t="str">
        <f>TEXT(data[[#This Row],[Join_Date]],"yyyy")</f>
        <v>2021</v>
      </c>
    </row>
    <row r="138" spans="1:18">
      <c r="A138" s="8" t="s">
        <v>170</v>
      </c>
      <c r="B138" s="1" t="s">
        <v>49</v>
      </c>
      <c r="C138" s="1" t="s">
        <v>23</v>
      </c>
      <c r="D138" s="1" t="s">
        <v>24</v>
      </c>
      <c r="E138" s="5">
        <v>44459</v>
      </c>
      <c r="F138" s="1">
        <v>9.6</v>
      </c>
      <c r="G138" s="1">
        <v>161848.12</v>
      </c>
      <c r="H138" s="1">
        <v>3</v>
      </c>
      <c r="I138" s="1">
        <v>9</v>
      </c>
      <c r="J138" s="1">
        <v>55</v>
      </c>
      <c r="K138" s="1">
        <v>0</v>
      </c>
      <c r="L138" s="1">
        <v>52</v>
      </c>
      <c r="M138" s="1">
        <v>7</v>
      </c>
      <c r="N138" s="2">
        <v>4</v>
      </c>
      <c r="O138" s="7">
        <f t="shared" ca="1" si="4"/>
        <v>5</v>
      </c>
      <c r="P138" s="6" t="str">
        <f t="shared" ca="1" si="5"/>
        <v>No Bounes</v>
      </c>
      <c r="Q138" t="str">
        <f>TEXT(data[[#This Row],[Join_Date]],"mmmm")</f>
        <v>September</v>
      </c>
      <c r="R138" t="str">
        <f>TEXT(data[[#This Row],[Join_Date]],"yyyy")</f>
        <v>2021</v>
      </c>
    </row>
    <row r="139" spans="1:18">
      <c r="A139" s="8" t="s">
        <v>171</v>
      </c>
      <c r="B139" s="1" t="s">
        <v>26</v>
      </c>
      <c r="C139" s="1" t="s">
        <v>23</v>
      </c>
      <c r="D139" s="1" t="s">
        <v>28</v>
      </c>
      <c r="E139" s="5">
        <v>44039</v>
      </c>
      <c r="F139" s="1">
        <v>2.1</v>
      </c>
      <c r="G139" s="1">
        <v>117207.21</v>
      </c>
      <c r="H139" s="1">
        <v>1</v>
      </c>
      <c r="I139" s="1">
        <v>9</v>
      </c>
      <c r="J139" s="1">
        <v>48</v>
      </c>
      <c r="K139" s="1">
        <v>4</v>
      </c>
      <c r="L139" s="1">
        <v>97</v>
      </c>
      <c r="M139" s="1">
        <v>8</v>
      </c>
      <c r="N139" s="2">
        <v>5</v>
      </c>
      <c r="O139" s="7">
        <f t="shared" ca="1" si="4"/>
        <v>6</v>
      </c>
      <c r="P139" s="6" t="str">
        <f t="shared" ca="1" si="5"/>
        <v>No Bounes</v>
      </c>
      <c r="Q139" t="str">
        <f>TEXT(data[[#This Row],[Join_Date]],"mmmm")</f>
        <v>July</v>
      </c>
      <c r="R139" t="str">
        <f>TEXT(data[[#This Row],[Join_Date]],"yyyy")</f>
        <v>2020</v>
      </c>
    </row>
    <row r="140" spans="1:18">
      <c r="A140" s="8" t="s">
        <v>172</v>
      </c>
      <c r="B140" s="1" t="s">
        <v>19</v>
      </c>
      <c r="C140" s="1" t="s">
        <v>23</v>
      </c>
      <c r="D140" s="1" t="s">
        <v>28</v>
      </c>
      <c r="E140" s="5">
        <v>44357</v>
      </c>
      <c r="F140" s="1">
        <v>11.3</v>
      </c>
      <c r="G140" s="1">
        <v>159625.18</v>
      </c>
      <c r="H140" s="1">
        <v>3</v>
      </c>
      <c r="I140" s="1">
        <v>9</v>
      </c>
      <c r="J140" s="1">
        <v>22</v>
      </c>
      <c r="K140" s="1">
        <v>7</v>
      </c>
      <c r="L140" s="1">
        <v>79</v>
      </c>
      <c r="M140" s="1">
        <v>9</v>
      </c>
      <c r="N140" s="2">
        <v>1</v>
      </c>
      <c r="O140" s="7">
        <f t="shared" ca="1" si="4"/>
        <v>5</v>
      </c>
      <c r="P140" s="6" t="str">
        <f t="shared" ca="1" si="5"/>
        <v>No Bounes</v>
      </c>
      <c r="Q140" t="str">
        <f>TEXT(data[[#This Row],[Join_Date]],"mmmm")</f>
        <v>June</v>
      </c>
      <c r="R140" t="str">
        <f>TEXT(data[[#This Row],[Join_Date]],"yyyy")</f>
        <v>2021</v>
      </c>
    </row>
    <row r="141" spans="1:18">
      <c r="A141" s="8" t="s">
        <v>173</v>
      </c>
      <c r="B141" s="1" t="s">
        <v>38</v>
      </c>
      <c r="C141" s="1" t="s">
        <v>45</v>
      </c>
      <c r="D141" s="1" t="s">
        <v>36</v>
      </c>
      <c r="E141" s="5">
        <v>45100</v>
      </c>
      <c r="F141" s="1">
        <v>12.4</v>
      </c>
      <c r="G141" s="1">
        <v>203254.98</v>
      </c>
      <c r="H141" s="1">
        <v>2</v>
      </c>
      <c r="I141" s="1">
        <v>13</v>
      </c>
      <c r="J141" s="1">
        <v>39</v>
      </c>
      <c r="K141" s="1">
        <v>7</v>
      </c>
      <c r="L141" s="1">
        <v>110</v>
      </c>
      <c r="M141" s="1">
        <v>3</v>
      </c>
      <c r="N141" s="2">
        <v>10</v>
      </c>
      <c r="O141" s="7">
        <f t="shared" ca="1" si="4"/>
        <v>3</v>
      </c>
      <c r="P141" s="6" t="str">
        <f t="shared" ca="1" si="5"/>
        <v>No Bounes</v>
      </c>
      <c r="Q141" t="str">
        <f>TEXT(data[[#This Row],[Join_Date]],"mmmm")</f>
        <v>June</v>
      </c>
      <c r="R141" t="str">
        <f>TEXT(data[[#This Row],[Join_Date]],"yyyy")</f>
        <v>2023</v>
      </c>
    </row>
    <row r="142" spans="1:18">
      <c r="A142" s="8" t="s">
        <v>174</v>
      </c>
      <c r="B142" s="1" t="s">
        <v>30</v>
      </c>
      <c r="C142" s="1" t="s">
        <v>23</v>
      </c>
      <c r="D142" s="1" t="s">
        <v>28</v>
      </c>
      <c r="E142" s="5">
        <v>43952</v>
      </c>
      <c r="F142" s="1">
        <v>4.5</v>
      </c>
      <c r="G142" s="1">
        <v>134244.45000000001</v>
      </c>
      <c r="H142" s="1">
        <v>5</v>
      </c>
      <c r="I142" s="1">
        <v>9</v>
      </c>
      <c r="J142" s="1">
        <v>42</v>
      </c>
      <c r="K142" s="1">
        <v>2</v>
      </c>
      <c r="L142" s="1">
        <v>100</v>
      </c>
      <c r="M142" s="1">
        <v>2</v>
      </c>
      <c r="N142" s="2">
        <v>6</v>
      </c>
      <c r="O142" s="7">
        <f t="shared" ca="1" si="4"/>
        <v>6</v>
      </c>
      <c r="P142" s="6" t="str">
        <f t="shared" ca="1" si="5"/>
        <v>No Bounes</v>
      </c>
      <c r="Q142" t="str">
        <f>TEXT(data[[#This Row],[Join_Date]],"mmmm")</f>
        <v>May</v>
      </c>
      <c r="R142" t="str">
        <f>TEXT(data[[#This Row],[Join_Date]],"yyyy")</f>
        <v>2020</v>
      </c>
    </row>
    <row r="143" spans="1:18">
      <c r="A143" s="8" t="s">
        <v>175</v>
      </c>
      <c r="B143" s="1" t="s">
        <v>49</v>
      </c>
      <c r="C143" s="1" t="s">
        <v>45</v>
      </c>
      <c r="D143" s="1" t="s">
        <v>28</v>
      </c>
      <c r="E143" s="5">
        <v>45251</v>
      </c>
      <c r="F143" s="1">
        <v>1.1000000000000001</v>
      </c>
      <c r="G143" s="1">
        <v>121228.63</v>
      </c>
      <c r="H143" s="1">
        <v>4</v>
      </c>
      <c r="I143" s="1">
        <v>15</v>
      </c>
      <c r="J143" s="1">
        <v>53</v>
      </c>
      <c r="K143" s="1">
        <v>3</v>
      </c>
      <c r="L143" s="1">
        <v>115</v>
      </c>
      <c r="M143" s="1">
        <v>7</v>
      </c>
      <c r="N143" s="2">
        <v>7</v>
      </c>
      <c r="O143" s="7">
        <f t="shared" ca="1" si="4"/>
        <v>2</v>
      </c>
      <c r="P143" s="6" t="str">
        <f t="shared" ca="1" si="5"/>
        <v>No Bounes</v>
      </c>
      <c r="Q143" t="str">
        <f>TEXT(data[[#This Row],[Join_Date]],"mmmm")</f>
        <v>November</v>
      </c>
      <c r="R143" t="str">
        <f>TEXT(data[[#This Row],[Join_Date]],"yyyy")</f>
        <v>2023</v>
      </c>
    </row>
    <row r="144" spans="1:18">
      <c r="A144" s="8" t="s">
        <v>176</v>
      </c>
      <c r="B144" s="1" t="s">
        <v>30</v>
      </c>
      <c r="C144" s="1" t="s">
        <v>27</v>
      </c>
      <c r="D144" s="1" t="s">
        <v>21</v>
      </c>
      <c r="E144" s="5">
        <v>45185</v>
      </c>
      <c r="F144" s="1">
        <v>2.1</v>
      </c>
      <c r="G144" s="1">
        <v>78259.070000000007</v>
      </c>
      <c r="H144" s="1">
        <v>5</v>
      </c>
      <c r="I144" s="1">
        <v>10</v>
      </c>
      <c r="J144" s="1">
        <v>48</v>
      </c>
      <c r="K144" s="1">
        <v>5</v>
      </c>
      <c r="L144" s="1">
        <v>92</v>
      </c>
      <c r="M144" s="1">
        <v>6</v>
      </c>
      <c r="N144" s="2">
        <v>2</v>
      </c>
      <c r="O144" s="7">
        <f t="shared" ca="1" si="4"/>
        <v>3</v>
      </c>
      <c r="P144" s="6" t="str">
        <f t="shared" ca="1" si="5"/>
        <v>No Bounes</v>
      </c>
      <c r="Q144" t="str">
        <f>TEXT(data[[#This Row],[Join_Date]],"mmmm")</f>
        <v>September</v>
      </c>
      <c r="R144" t="str">
        <f>TEXT(data[[#This Row],[Join_Date]],"yyyy")</f>
        <v>2023</v>
      </c>
    </row>
    <row r="145" spans="1:18">
      <c r="A145" s="8" t="s">
        <v>177</v>
      </c>
      <c r="B145" s="1" t="s">
        <v>19</v>
      </c>
      <c r="C145" s="1" t="s">
        <v>23</v>
      </c>
      <c r="D145" s="1" t="s">
        <v>28</v>
      </c>
      <c r="E145" s="5">
        <v>44323</v>
      </c>
      <c r="F145" s="1">
        <v>14.1</v>
      </c>
      <c r="G145" s="1">
        <v>179391.94</v>
      </c>
      <c r="H145" s="1">
        <v>3</v>
      </c>
      <c r="I145" s="1">
        <v>13</v>
      </c>
      <c r="J145" s="1">
        <v>42</v>
      </c>
      <c r="K145" s="1">
        <v>7</v>
      </c>
      <c r="L145" s="1">
        <v>129</v>
      </c>
      <c r="M145" s="1">
        <v>5</v>
      </c>
      <c r="N145" s="2">
        <v>1</v>
      </c>
      <c r="O145" s="7">
        <f t="shared" ca="1" si="4"/>
        <v>5</v>
      </c>
      <c r="P145" s="6" t="str">
        <f t="shared" ca="1" si="5"/>
        <v>No Bounes</v>
      </c>
      <c r="Q145" t="str">
        <f>TEXT(data[[#This Row],[Join_Date]],"mmmm")</f>
        <v>May</v>
      </c>
      <c r="R145" t="str">
        <f>TEXT(data[[#This Row],[Join_Date]],"yyyy")</f>
        <v>2021</v>
      </c>
    </row>
    <row r="146" spans="1:18">
      <c r="A146" s="8" t="s">
        <v>178</v>
      </c>
      <c r="B146" s="1" t="s">
        <v>38</v>
      </c>
      <c r="C146" s="1" t="s">
        <v>23</v>
      </c>
      <c r="D146" s="1" t="s">
        <v>24</v>
      </c>
      <c r="E146" s="5">
        <v>44704</v>
      </c>
      <c r="F146" s="1">
        <v>10.3</v>
      </c>
      <c r="G146" s="1">
        <v>161727.92000000001</v>
      </c>
      <c r="H146" s="1">
        <v>5</v>
      </c>
      <c r="I146" s="1">
        <v>9</v>
      </c>
      <c r="J146" s="1">
        <v>38</v>
      </c>
      <c r="K146" s="1">
        <v>8</v>
      </c>
      <c r="L146" s="1">
        <v>105</v>
      </c>
      <c r="M146" s="1">
        <v>9</v>
      </c>
      <c r="N146" s="2">
        <v>4</v>
      </c>
      <c r="O146" s="7">
        <f t="shared" ca="1" si="4"/>
        <v>4</v>
      </c>
      <c r="P146" s="6" t="str">
        <f t="shared" ca="1" si="5"/>
        <v>No Bounes</v>
      </c>
      <c r="Q146" t="str">
        <f>TEXT(data[[#This Row],[Join_Date]],"mmmm")</f>
        <v>May</v>
      </c>
      <c r="R146" t="str">
        <f>TEXT(data[[#This Row],[Join_Date]],"yyyy")</f>
        <v>2022</v>
      </c>
    </row>
    <row r="147" spans="1:18">
      <c r="A147" s="8" t="s">
        <v>179</v>
      </c>
      <c r="B147" s="1" t="s">
        <v>38</v>
      </c>
      <c r="C147" s="1" t="s">
        <v>23</v>
      </c>
      <c r="D147" s="1" t="s">
        <v>21</v>
      </c>
      <c r="E147" s="5">
        <v>44891</v>
      </c>
      <c r="F147" s="1">
        <v>10.1</v>
      </c>
      <c r="G147" s="1">
        <v>151421.66</v>
      </c>
      <c r="H147" s="1">
        <v>4</v>
      </c>
      <c r="I147" s="1">
        <v>7</v>
      </c>
      <c r="J147" s="1">
        <v>27</v>
      </c>
      <c r="K147" s="1">
        <v>6</v>
      </c>
      <c r="L147" s="1">
        <v>104</v>
      </c>
      <c r="M147" s="1">
        <v>6</v>
      </c>
      <c r="N147" s="2">
        <v>2</v>
      </c>
      <c r="O147" s="7">
        <f t="shared" ca="1" si="4"/>
        <v>3</v>
      </c>
      <c r="P147" s="6" t="str">
        <f t="shared" ca="1" si="5"/>
        <v>No Bounes</v>
      </c>
      <c r="Q147" t="str">
        <f>TEXT(data[[#This Row],[Join_Date]],"mmmm")</f>
        <v>November</v>
      </c>
      <c r="R147" t="str">
        <f>TEXT(data[[#This Row],[Join_Date]],"yyyy")</f>
        <v>2022</v>
      </c>
    </row>
    <row r="148" spans="1:18">
      <c r="A148" s="8" t="s">
        <v>180</v>
      </c>
      <c r="B148" s="1" t="s">
        <v>49</v>
      </c>
      <c r="C148" s="1" t="s">
        <v>20</v>
      </c>
      <c r="D148" s="1" t="s">
        <v>24</v>
      </c>
      <c r="E148" s="5">
        <v>44790</v>
      </c>
      <c r="F148" s="1">
        <v>8.8000000000000007</v>
      </c>
      <c r="G148" s="1">
        <v>130553.45</v>
      </c>
      <c r="H148" s="1">
        <v>5</v>
      </c>
      <c r="I148" s="1">
        <v>7</v>
      </c>
      <c r="J148" s="1">
        <v>46</v>
      </c>
      <c r="K148" s="1">
        <v>5</v>
      </c>
      <c r="L148" s="1">
        <v>50</v>
      </c>
      <c r="M148" s="1">
        <v>5</v>
      </c>
      <c r="N148" s="2">
        <v>7</v>
      </c>
      <c r="O148" s="7">
        <f t="shared" ca="1" si="4"/>
        <v>4</v>
      </c>
      <c r="P148" s="6" t="str">
        <f t="shared" ca="1" si="5"/>
        <v>No Bounes</v>
      </c>
      <c r="Q148" t="str">
        <f>TEXT(data[[#This Row],[Join_Date]],"mmmm")</f>
        <v>August</v>
      </c>
      <c r="R148" t="str">
        <f>TEXT(data[[#This Row],[Join_Date]],"yyyy")</f>
        <v>2022</v>
      </c>
    </row>
    <row r="149" spans="1:18">
      <c r="A149" s="8" t="s">
        <v>181</v>
      </c>
      <c r="B149" s="1" t="s">
        <v>59</v>
      </c>
      <c r="C149" s="1" t="s">
        <v>27</v>
      </c>
      <c r="D149" s="1" t="s">
        <v>24</v>
      </c>
      <c r="E149" s="5">
        <v>44225</v>
      </c>
      <c r="F149" s="1">
        <v>9.6999999999999993</v>
      </c>
      <c r="G149" s="1">
        <v>92090.51</v>
      </c>
      <c r="H149" s="1">
        <v>2</v>
      </c>
      <c r="I149" s="1">
        <v>11</v>
      </c>
      <c r="J149" s="1">
        <v>53</v>
      </c>
      <c r="K149" s="1">
        <v>10</v>
      </c>
      <c r="L149" s="1">
        <v>101</v>
      </c>
      <c r="M149" s="1">
        <v>4</v>
      </c>
      <c r="N149" s="2">
        <v>6</v>
      </c>
      <c r="O149" s="7">
        <f t="shared" ca="1" si="4"/>
        <v>5</v>
      </c>
      <c r="P149" s="6" t="str">
        <f t="shared" ca="1" si="5"/>
        <v>No Bounes</v>
      </c>
      <c r="Q149" t="str">
        <f>TEXT(data[[#This Row],[Join_Date]],"mmmm")</f>
        <v>January</v>
      </c>
      <c r="R149" t="str">
        <f>TEXT(data[[#This Row],[Join_Date]],"yyyy")</f>
        <v>2021</v>
      </c>
    </row>
    <row r="150" spans="1:18">
      <c r="A150" s="8" t="s">
        <v>182</v>
      </c>
      <c r="B150" s="1" t="s">
        <v>26</v>
      </c>
      <c r="C150" s="1" t="s">
        <v>23</v>
      </c>
      <c r="D150" s="1" t="s">
        <v>28</v>
      </c>
      <c r="E150" s="5">
        <v>44595</v>
      </c>
      <c r="F150" s="1">
        <v>6.5</v>
      </c>
      <c r="G150" s="1">
        <v>122775.47</v>
      </c>
      <c r="H150" s="1">
        <v>5</v>
      </c>
      <c r="I150" s="1">
        <v>10</v>
      </c>
      <c r="J150" s="1">
        <v>56</v>
      </c>
      <c r="K150" s="1">
        <v>5</v>
      </c>
      <c r="L150" s="1">
        <v>108</v>
      </c>
      <c r="M150" s="1">
        <v>9</v>
      </c>
      <c r="N150" s="2">
        <v>5</v>
      </c>
      <c r="O150" s="7">
        <f t="shared" ca="1" si="4"/>
        <v>4</v>
      </c>
      <c r="P150" s="6" t="str">
        <f t="shared" ca="1" si="5"/>
        <v>No Bounes</v>
      </c>
      <c r="Q150" t="str">
        <f>TEXT(data[[#This Row],[Join_Date]],"mmmm")</f>
        <v>February</v>
      </c>
      <c r="R150" t="str">
        <f>TEXT(data[[#This Row],[Join_Date]],"yyyy")</f>
        <v>2022</v>
      </c>
    </row>
    <row r="151" spans="1:18">
      <c r="A151" s="8" t="s">
        <v>183</v>
      </c>
      <c r="B151" s="1" t="s">
        <v>49</v>
      </c>
      <c r="C151" s="1" t="s">
        <v>23</v>
      </c>
      <c r="D151" s="1" t="s">
        <v>24</v>
      </c>
      <c r="E151" s="5">
        <v>44140</v>
      </c>
      <c r="F151" s="1">
        <v>11.7</v>
      </c>
      <c r="G151" s="1">
        <v>155900.66</v>
      </c>
      <c r="H151" s="1">
        <v>4</v>
      </c>
      <c r="I151" s="1">
        <v>8</v>
      </c>
      <c r="J151" s="1">
        <v>26</v>
      </c>
      <c r="K151" s="1">
        <v>6</v>
      </c>
      <c r="L151" s="1">
        <v>61</v>
      </c>
      <c r="M151" s="1">
        <v>6</v>
      </c>
      <c r="N151" s="2">
        <v>3</v>
      </c>
      <c r="O151" s="7">
        <f t="shared" ca="1" si="4"/>
        <v>5</v>
      </c>
      <c r="P151" s="6" t="str">
        <f t="shared" ca="1" si="5"/>
        <v>No Bounes</v>
      </c>
      <c r="Q151" t="str">
        <f>TEXT(data[[#This Row],[Join_Date]],"mmmm")</f>
        <v>November</v>
      </c>
      <c r="R151" t="str">
        <f>TEXT(data[[#This Row],[Join_Date]],"yyyy")</f>
        <v>2020</v>
      </c>
    </row>
    <row r="152" spans="1:18">
      <c r="A152" s="8" t="s">
        <v>184</v>
      </c>
      <c r="B152" s="1" t="s">
        <v>59</v>
      </c>
      <c r="C152" s="1" t="s">
        <v>20</v>
      </c>
      <c r="D152" s="1" t="s">
        <v>21</v>
      </c>
      <c r="E152" s="5">
        <v>44467</v>
      </c>
      <c r="F152" s="1">
        <v>12.8</v>
      </c>
      <c r="G152" s="1">
        <v>143874.07999999999</v>
      </c>
      <c r="H152" s="1">
        <v>1</v>
      </c>
      <c r="I152" s="1">
        <v>13</v>
      </c>
      <c r="J152" s="1">
        <v>32</v>
      </c>
      <c r="K152" s="1">
        <v>5</v>
      </c>
      <c r="L152" s="1">
        <v>88</v>
      </c>
      <c r="M152" s="1">
        <v>6</v>
      </c>
      <c r="N152" s="2">
        <v>9</v>
      </c>
      <c r="O152" s="7">
        <f t="shared" ca="1" si="4"/>
        <v>5</v>
      </c>
      <c r="P152" s="6" t="str">
        <f t="shared" ca="1" si="5"/>
        <v>No Bounes</v>
      </c>
      <c r="Q152" t="str">
        <f>TEXT(data[[#This Row],[Join_Date]],"mmmm")</f>
        <v>September</v>
      </c>
      <c r="R152" t="str">
        <f>TEXT(data[[#This Row],[Join_Date]],"yyyy")</f>
        <v>2021</v>
      </c>
    </row>
    <row r="153" spans="1:18">
      <c r="A153" s="8" t="s">
        <v>185</v>
      </c>
      <c r="B153" s="1" t="s">
        <v>38</v>
      </c>
      <c r="C153" s="1" t="s">
        <v>45</v>
      </c>
      <c r="D153" s="1" t="s">
        <v>31</v>
      </c>
      <c r="E153" s="5">
        <v>44535</v>
      </c>
      <c r="F153" s="1">
        <v>4</v>
      </c>
      <c r="G153" s="1">
        <v>147877.82</v>
      </c>
      <c r="H153" s="1">
        <v>2</v>
      </c>
      <c r="I153" s="1">
        <v>13</v>
      </c>
      <c r="J153" s="1">
        <v>43</v>
      </c>
      <c r="K153" s="1">
        <v>8</v>
      </c>
      <c r="L153" s="1">
        <v>67</v>
      </c>
      <c r="M153" s="1">
        <v>10</v>
      </c>
      <c r="N153" s="2">
        <v>9</v>
      </c>
      <c r="O153" s="7">
        <f t="shared" ca="1" si="4"/>
        <v>4</v>
      </c>
      <c r="P153" s="6" t="str">
        <f t="shared" ca="1" si="5"/>
        <v>No Bounes</v>
      </c>
      <c r="Q153" t="str">
        <f>TEXT(data[[#This Row],[Join_Date]],"mmmm")</f>
        <v>December</v>
      </c>
      <c r="R153" t="str">
        <f>TEXT(data[[#This Row],[Join_Date]],"yyyy")</f>
        <v>2021</v>
      </c>
    </row>
    <row r="154" spans="1:18">
      <c r="A154" s="8" t="s">
        <v>186</v>
      </c>
      <c r="B154" s="1" t="s">
        <v>49</v>
      </c>
      <c r="C154" s="1" t="s">
        <v>39</v>
      </c>
      <c r="D154" s="1" t="s">
        <v>36</v>
      </c>
      <c r="E154" s="5">
        <v>43920</v>
      </c>
      <c r="F154" s="1">
        <v>8.9</v>
      </c>
      <c r="G154" s="1">
        <v>68804.09</v>
      </c>
      <c r="H154" s="1">
        <v>1</v>
      </c>
      <c r="I154" s="1">
        <v>11</v>
      </c>
      <c r="J154" s="1">
        <v>40</v>
      </c>
      <c r="K154" s="1">
        <v>5</v>
      </c>
      <c r="L154" s="1">
        <v>147</v>
      </c>
      <c r="M154" s="1">
        <v>4</v>
      </c>
      <c r="N154" s="2">
        <v>10</v>
      </c>
      <c r="O154" s="7">
        <f t="shared" ca="1" si="4"/>
        <v>6</v>
      </c>
      <c r="P154" s="6" t="str">
        <f t="shared" ca="1" si="5"/>
        <v>No Bounes</v>
      </c>
      <c r="Q154" t="str">
        <f>TEXT(data[[#This Row],[Join_Date]],"mmmm")</f>
        <v>March</v>
      </c>
      <c r="R154" t="str">
        <f>TEXT(data[[#This Row],[Join_Date]],"yyyy")</f>
        <v>2020</v>
      </c>
    </row>
    <row r="155" spans="1:18">
      <c r="A155" s="8" t="s">
        <v>187</v>
      </c>
      <c r="B155" s="1" t="s">
        <v>26</v>
      </c>
      <c r="C155" s="1" t="s">
        <v>45</v>
      </c>
      <c r="D155" s="1" t="s">
        <v>31</v>
      </c>
      <c r="E155" s="5">
        <v>44008</v>
      </c>
      <c r="F155" s="1">
        <v>4.3</v>
      </c>
      <c r="G155" s="1">
        <v>137639.32</v>
      </c>
      <c r="H155" s="1">
        <v>2</v>
      </c>
      <c r="I155" s="1">
        <v>11</v>
      </c>
      <c r="J155" s="1">
        <v>28</v>
      </c>
      <c r="K155" s="1">
        <v>6</v>
      </c>
      <c r="L155" s="1">
        <v>87</v>
      </c>
      <c r="M155" s="1">
        <v>7</v>
      </c>
      <c r="N155" s="2">
        <v>5</v>
      </c>
      <c r="O155" s="7">
        <f t="shared" ca="1" si="4"/>
        <v>6</v>
      </c>
      <c r="P155" s="6" t="str">
        <f t="shared" ca="1" si="5"/>
        <v>No Bounes</v>
      </c>
      <c r="Q155" t="str">
        <f>TEXT(data[[#This Row],[Join_Date]],"mmmm")</f>
        <v>June</v>
      </c>
      <c r="R155" t="str">
        <f>TEXT(data[[#This Row],[Join_Date]],"yyyy")</f>
        <v>2020</v>
      </c>
    </row>
    <row r="156" spans="1:18">
      <c r="A156" s="8" t="s">
        <v>188</v>
      </c>
      <c r="B156" s="1" t="s">
        <v>59</v>
      </c>
      <c r="C156" s="1" t="s">
        <v>45</v>
      </c>
      <c r="D156" s="1" t="s">
        <v>31</v>
      </c>
      <c r="E156" s="5">
        <v>44369</v>
      </c>
      <c r="F156" s="1">
        <v>13.1</v>
      </c>
      <c r="G156" s="1">
        <v>217792.11</v>
      </c>
      <c r="H156" s="1">
        <v>1</v>
      </c>
      <c r="I156" s="1">
        <v>8</v>
      </c>
      <c r="J156" s="1">
        <v>50</v>
      </c>
      <c r="K156" s="1">
        <v>3</v>
      </c>
      <c r="L156" s="1">
        <v>88</v>
      </c>
      <c r="M156" s="1">
        <v>6</v>
      </c>
      <c r="N156" s="2">
        <v>1</v>
      </c>
      <c r="O156" s="7">
        <f t="shared" ca="1" si="4"/>
        <v>5</v>
      </c>
      <c r="P156" s="6" t="str">
        <f t="shared" ca="1" si="5"/>
        <v>No Bounes</v>
      </c>
      <c r="Q156" t="str">
        <f>TEXT(data[[#This Row],[Join_Date]],"mmmm")</f>
        <v>June</v>
      </c>
      <c r="R156" t="str">
        <f>TEXT(data[[#This Row],[Join_Date]],"yyyy")</f>
        <v>2021</v>
      </c>
    </row>
    <row r="157" spans="1:18">
      <c r="A157" s="8" t="s">
        <v>189</v>
      </c>
      <c r="B157" s="1" t="s">
        <v>49</v>
      </c>
      <c r="C157" s="1" t="s">
        <v>23</v>
      </c>
      <c r="D157" s="1" t="s">
        <v>24</v>
      </c>
      <c r="E157" s="5">
        <v>44717</v>
      </c>
      <c r="F157" s="1">
        <v>11.4</v>
      </c>
      <c r="G157" s="1">
        <v>150705.01</v>
      </c>
      <c r="H157" s="1">
        <v>2</v>
      </c>
      <c r="I157" s="1">
        <v>10</v>
      </c>
      <c r="J157" s="1">
        <v>49</v>
      </c>
      <c r="K157" s="1">
        <v>6</v>
      </c>
      <c r="L157" s="1">
        <v>92</v>
      </c>
      <c r="M157" s="1">
        <v>8</v>
      </c>
      <c r="N157" s="2">
        <v>4</v>
      </c>
      <c r="O157" s="7">
        <f t="shared" ca="1" si="4"/>
        <v>4</v>
      </c>
      <c r="P157" s="6" t="str">
        <f t="shared" ca="1" si="5"/>
        <v>No Bounes</v>
      </c>
      <c r="Q157" t="str">
        <f>TEXT(data[[#This Row],[Join_Date]],"mmmm")</f>
        <v>June</v>
      </c>
      <c r="R157" t="str">
        <f>TEXT(data[[#This Row],[Join_Date]],"yyyy")</f>
        <v>2022</v>
      </c>
    </row>
    <row r="158" spans="1:18">
      <c r="A158" s="8" t="s">
        <v>190</v>
      </c>
      <c r="B158" s="1" t="s">
        <v>49</v>
      </c>
      <c r="C158" s="1" t="s">
        <v>20</v>
      </c>
      <c r="D158" s="1" t="s">
        <v>24</v>
      </c>
      <c r="E158" s="5">
        <v>44594</v>
      </c>
      <c r="F158" s="1">
        <v>8.6999999999999993</v>
      </c>
      <c r="G158" s="1">
        <v>120598.13</v>
      </c>
      <c r="H158" s="1">
        <v>3</v>
      </c>
      <c r="I158" s="1">
        <v>9</v>
      </c>
      <c r="J158" s="1">
        <v>28</v>
      </c>
      <c r="K158" s="1">
        <v>3</v>
      </c>
      <c r="L158" s="1">
        <v>80</v>
      </c>
      <c r="M158" s="1">
        <v>4</v>
      </c>
      <c r="N158" s="2">
        <v>6</v>
      </c>
      <c r="O158" s="7">
        <f t="shared" ca="1" si="4"/>
        <v>4</v>
      </c>
      <c r="P158" s="6" t="str">
        <f t="shared" ca="1" si="5"/>
        <v>No Bounes</v>
      </c>
      <c r="Q158" t="str">
        <f>TEXT(data[[#This Row],[Join_Date]],"mmmm")</f>
        <v>February</v>
      </c>
      <c r="R158" t="str">
        <f>TEXT(data[[#This Row],[Join_Date]],"yyyy")</f>
        <v>2022</v>
      </c>
    </row>
    <row r="159" spans="1:18">
      <c r="A159" s="8" t="s">
        <v>191</v>
      </c>
      <c r="B159" s="1" t="s">
        <v>26</v>
      </c>
      <c r="C159" s="1" t="s">
        <v>27</v>
      </c>
      <c r="D159" s="1" t="s">
        <v>28</v>
      </c>
      <c r="E159" s="5">
        <v>44325</v>
      </c>
      <c r="F159" s="1">
        <v>10.6</v>
      </c>
      <c r="G159" s="1">
        <v>102869</v>
      </c>
      <c r="H159" s="1">
        <v>3</v>
      </c>
      <c r="I159" s="1">
        <v>9</v>
      </c>
      <c r="J159" s="1">
        <v>59</v>
      </c>
      <c r="K159" s="1">
        <v>3</v>
      </c>
      <c r="L159" s="1">
        <v>91</v>
      </c>
      <c r="M159" s="1">
        <v>6</v>
      </c>
      <c r="N159" s="2">
        <v>3</v>
      </c>
      <c r="O159" s="7">
        <f t="shared" ca="1" si="4"/>
        <v>5</v>
      </c>
      <c r="P159" s="6" t="str">
        <f t="shared" ca="1" si="5"/>
        <v>No Bounes</v>
      </c>
      <c r="Q159" t="str">
        <f>TEXT(data[[#This Row],[Join_Date]],"mmmm")</f>
        <v>May</v>
      </c>
      <c r="R159" t="str">
        <f>TEXT(data[[#This Row],[Join_Date]],"yyyy")</f>
        <v>2021</v>
      </c>
    </row>
    <row r="160" spans="1:18">
      <c r="A160" s="8" t="s">
        <v>192</v>
      </c>
      <c r="B160" s="1" t="s">
        <v>19</v>
      </c>
      <c r="C160" s="1" t="s">
        <v>39</v>
      </c>
      <c r="D160" s="1" t="s">
        <v>24</v>
      </c>
      <c r="E160" s="5">
        <v>45081</v>
      </c>
      <c r="F160" s="1">
        <v>1.9</v>
      </c>
      <c r="G160" s="1">
        <v>51906.98</v>
      </c>
      <c r="H160" s="1">
        <v>5</v>
      </c>
      <c r="I160" s="1">
        <v>3</v>
      </c>
      <c r="J160" s="1">
        <v>46</v>
      </c>
      <c r="K160" s="1">
        <v>1</v>
      </c>
      <c r="L160" s="1">
        <v>72</v>
      </c>
      <c r="M160" s="1">
        <v>10</v>
      </c>
      <c r="N160" s="2">
        <v>3</v>
      </c>
      <c r="O160" s="7">
        <f t="shared" ca="1" si="4"/>
        <v>3</v>
      </c>
      <c r="P160" s="6" t="str">
        <f t="shared" ca="1" si="5"/>
        <v>No Bounes</v>
      </c>
      <c r="Q160" t="str">
        <f>TEXT(data[[#This Row],[Join_Date]],"mmmm")</f>
        <v>June</v>
      </c>
      <c r="R160" t="str">
        <f>TEXT(data[[#This Row],[Join_Date]],"yyyy")</f>
        <v>2023</v>
      </c>
    </row>
    <row r="161" spans="1:18">
      <c r="A161" s="8" t="s">
        <v>193</v>
      </c>
      <c r="B161" s="1" t="s">
        <v>19</v>
      </c>
      <c r="C161" s="1" t="s">
        <v>20</v>
      </c>
      <c r="D161" s="1" t="s">
        <v>24</v>
      </c>
      <c r="E161" s="5">
        <v>44831</v>
      </c>
      <c r="F161" s="1">
        <v>14.2</v>
      </c>
      <c r="G161" s="1">
        <v>146444.79999999999</v>
      </c>
      <c r="H161" s="1">
        <v>5</v>
      </c>
      <c r="I161" s="1">
        <v>13</v>
      </c>
      <c r="J161" s="1">
        <v>18</v>
      </c>
      <c r="K161" s="1">
        <v>5</v>
      </c>
      <c r="L161" s="1">
        <v>124</v>
      </c>
      <c r="M161" s="1">
        <v>2</v>
      </c>
      <c r="N161" s="2">
        <v>4</v>
      </c>
      <c r="O161" s="7">
        <f t="shared" ca="1" si="4"/>
        <v>4</v>
      </c>
      <c r="P161" s="6" t="str">
        <f t="shared" ca="1" si="5"/>
        <v>No Bounes</v>
      </c>
      <c r="Q161" t="str">
        <f>TEXT(data[[#This Row],[Join_Date]],"mmmm")</f>
        <v>September</v>
      </c>
      <c r="R161" t="str">
        <f>TEXT(data[[#This Row],[Join_Date]],"yyyy")</f>
        <v>2022</v>
      </c>
    </row>
    <row r="162" spans="1:18">
      <c r="A162" s="8" t="s">
        <v>194</v>
      </c>
      <c r="B162" s="1" t="s">
        <v>30</v>
      </c>
      <c r="C162" s="1" t="s">
        <v>27</v>
      </c>
      <c r="D162" s="1" t="s">
        <v>28</v>
      </c>
      <c r="E162" s="5">
        <v>44994</v>
      </c>
      <c r="F162" s="1">
        <v>2.4</v>
      </c>
      <c r="G162" s="1">
        <v>77965.75</v>
      </c>
      <c r="H162" s="1">
        <v>5</v>
      </c>
      <c r="I162" s="1">
        <v>14</v>
      </c>
      <c r="J162" s="1">
        <v>30</v>
      </c>
      <c r="K162" s="1">
        <v>3</v>
      </c>
      <c r="L162" s="1">
        <v>154</v>
      </c>
      <c r="M162" s="1">
        <v>3</v>
      </c>
      <c r="N162" s="2">
        <v>10</v>
      </c>
      <c r="O162" s="7">
        <f t="shared" ca="1" si="4"/>
        <v>3</v>
      </c>
      <c r="P162" s="6" t="str">
        <f t="shared" ca="1" si="5"/>
        <v>No Bounes</v>
      </c>
      <c r="Q162" t="str">
        <f>TEXT(data[[#This Row],[Join_Date]],"mmmm")</f>
        <v>March</v>
      </c>
      <c r="R162" t="str">
        <f>TEXT(data[[#This Row],[Join_Date]],"yyyy")</f>
        <v>2023</v>
      </c>
    </row>
    <row r="163" spans="1:18">
      <c r="A163" s="8" t="s">
        <v>195</v>
      </c>
      <c r="B163" s="1" t="s">
        <v>49</v>
      </c>
      <c r="C163" s="1" t="s">
        <v>39</v>
      </c>
      <c r="D163" s="1" t="s">
        <v>24</v>
      </c>
      <c r="E163" s="5">
        <v>44121</v>
      </c>
      <c r="F163" s="1">
        <v>8.6999999999999993</v>
      </c>
      <c r="G163" s="1">
        <v>69334.98</v>
      </c>
      <c r="H163" s="1">
        <v>4</v>
      </c>
      <c r="I163" s="1">
        <v>9</v>
      </c>
      <c r="J163" s="1">
        <v>32</v>
      </c>
      <c r="K163" s="1">
        <v>3</v>
      </c>
      <c r="L163" s="1">
        <v>70</v>
      </c>
      <c r="M163" s="1">
        <v>8</v>
      </c>
      <c r="N163" s="2">
        <v>10</v>
      </c>
      <c r="O163" s="7">
        <f t="shared" ca="1" si="4"/>
        <v>6</v>
      </c>
      <c r="P163" s="6" t="str">
        <f t="shared" ca="1" si="5"/>
        <v>No Bounes</v>
      </c>
      <c r="Q163" t="str">
        <f>TEXT(data[[#This Row],[Join_Date]],"mmmm")</f>
        <v>October</v>
      </c>
      <c r="R163" t="str">
        <f>TEXT(data[[#This Row],[Join_Date]],"yyyy")</f>
        <v>2020</v>
      </c>
    </row>
    <row r="164" spans="1:18">
      <c r="A164" s="8" t="s">
        <v>196</v>
      </c>
      <c r="B164" s="1" t="s">
        <v>19</v>
      </c>
      <c r="C164" s="1" t="s">
        <v>27</v>
      </c>
      <c r="D164" s="1" t="s">
        <v>28</v>
      </c>
      <c r="E164" s="5">
        <v>44793</v>
      </c>
      <c r="F164" s="1">
        <v>5.4</v>
      </c>
      <c r="G164" s="1">
        <v>81043.679999999993</v>
      </c>
      <c r="H164" s="1">
        <v>4</v>
      </c>
      <c r="I164" s="1">
        <v>8</v>
      </c>
      <c r="J164" s="1">
        <v>50</v>
      </c>
      <c r="K164" s="1">
        <v>6</v>
      </c>
      <c r="L164" s="1">
        <v>64</v>
      </c>
      <c r="M164" s="1">
        <v>2</v>
      </c>
      <c r="N164" s="2">
        <v>5</v>
      </c>
      <c r="O164" s="7">
        <f t="shared" ca="1" si="4"/>
        <v>4</v>
      </c>
      <c r="P164" s="6" t="str">
        <f t="shared" ca="1" si="5"/>
        <v>No Bounes</v>
      </c>
      <c r="Q164" t="str">
        <f>TEXT(data[[#This Row],[Join_Date]],"mmmm")</f>
        <v>August</v>
      </c>
      <c r="R164" t="str">
        <f>TEXT(data[[#This Row],[Join_Date]],"yyyy")</f>
        <v>2022</v>
      </c>
    </row>
    <row r="165" spans="1:18">
      <c r="A165" s="8" t="s">
        <v>197</v>
      </c>
      <c r="B165" s="1" t="s">
        <v>38</v>
      </c>
      <c r="C165" s="1" t="s">
        <v>39</v>
      </c>
      <c r="D165" s="1" t="s">
        <v>36</v>
      </c>
      <c r="E165" s="5">
        <v>44932</v>
      </c>
      <c r="F165" s="1">
        <v>4.9000000000000004</v>
      </c>
      <c r="G165" s="1">
        <v>51773.46</v>
      </c>
      <c r="H165" s="1">
        <v>2</v>
      </c>
      <c r="I165" s="1">
        <v>10</v>
      </c>
      <c r="J165" s="1">
        <v>35</v>
      </c>
      <c r="K165" s="1">
        <v>6</v>
      </c>
      <c r="L165" s="1">
        <v>95</v>
      </c>
      <c r="M165" s="1">
        <v>5</v>
      </c>
      <c r="N165" s="2">
        <v>3</v>
      </c>
      <c r="O165" s="7">
        <f t="shared" ca="1" si="4"/>
        <v>3</v>
      </c>
      <c r="P165" s="6" t="str">
        <f t="shared" ca="1" si="5"/>
        <v>No Bounes</v>
      </c>
      <c r="Q165" t="str">
        <f>TEXT(data[[#This Row],[Join_Date]],"mmmm")</f>
        <v>January</v>
      </c>
      <c r="R165" t="str">
        <f>TEXT(data[[#This Row],[Join_Date]],"yyyy")</f>
        <v>2023</v>
      </c>
    </row>
    <row r="166" spans="1:18">
      <c r="A166" s="8" t="s">
        <v>198</v>
      </c>
      <c r="B166" s="1" t="s">
        <v>59</v>
      </c>
      <c r="C166" s="1" t="s">
        <v>27</v>
      </c>
      <c r="D166" s="1" t="s">
        <v>24</v>
      </c>
      <c r="E166" s="5">
        <v>44325</v>
      </c>
      <c r="F166" s="1">
        <v>10.5</v>
      </c>
      <c r="G166" s="1">
        <v>95187.55</v>
      </c>
      <c r="H166" s="1">
        <v>4</v>
      </c>
      <c r="I166" s="1">
        <v>11</v>
      </c>
      <c r="J166" s="1">
        <v>38</v>
      </c>
      <c r="K166" s="1">
        <v>0</v>
      </c>
      <c r="L166" s="1">
        <v>101</v>
      </c>
      <c r="M166" s="1">
        <v>8</v>
      </c>
      <c r="N166" s="2">
        <v>8</v>
      </c>
      <c r="O166" s="7">
        <f t="shared" ca="1" si="4"/>
        <v>5</v>
      </c>
      <c r="P166" s="6" t="str">
        <f t="shared" ca="1" si="5"/>
        <v>No Bounes</v>
      </c>
      <c r="Q166" t="str">
        <f>TEXT(data[[#This Row],[Join_Date]],"mmmm")</f>
        <v>May</v>
      </c>
      <c r="R166" t="str">
        <f>TEXT(data[[#This Row],[Join_Date]],"yyyy")</f>
        <v>2021</v>
      </c>
    </row>
    <row r="167" spans="1:18">
      <c r="A167" s="8" t="s">
        <v>199</v>
      </c>
      <c r="B167" s="1" t="s">
        <v>26</v>
      </c>
      <c r="C167" s="1" t="s">
        <v>20</v>
      </c>
      <c r="D167" s="1" t="s">
        <v>28</v>
      </c>
      <c r="E167" s="5">
        <v>45138</v>
      </c>
      <c r="F167" s="1">
        <v>5.0999999999999996</v>
      </c>
      <c r="G167" s="1">
        <v>115748.67</v>
      </c>
      <c r="H167" s="1">
        <v>1</v>
      </c>
      <c r="I167" s="1">
        <v>6</v>
      </c>
      <c r="J167" s="1">
        <v>47</v>
      </c>
      <c r="K167" s="1">
        <v>3</v>
      </c>
      <c r="L167" s="1">
        <v>81</v>
      </c>
      <c r="M167" s="1">
        <v>7</v>
      </c>
      <c r="N167" s="2">
        <v>6</v>
      </c>
      <c r="O167" s="7">
        <f t="shared" ca="1" si="4"/>
        <v>3</v>
      </c>
      <c r="P167" s="6" t="str">
        <f t="shared" ca="1" si="5"/>
        <v>No Bounes</v>
      </c>
      <c r="Q167" t="str">
        <f>TEXT(data[[#This Row],[Join_Date]],"mmmm")</f>
        <v>July</v>
      </c>
      <c r="R167" t="str">
        <f>TEXT(data[[#This Row],[Join_Date]],"yyyy")</f>
        <v>2023</v>
      </c>
    </row>
    <row r="168" spans="1:18">
      <c r="A168" s="8" t="s">
        <v>200</v>
      </c>
      <c r="B168" s="1" t="s">
        <v>19</v>
      </c>
      <c r="C168" s="1" t="s">
        <v>39</v>
      </c>
      <c r="D168" s="1" t="s">
        <v>24</v>
      </c>
      <c r="E168" s="5">
        <v>45245</v>
      </c>
      <c r="F168" s="1">
        <v>9</v>
      </c>
      <c r="G168" s="1">
        <v>64655.51</v>
      </c>
      <c r="H168" s="1">
        <v>2</v>
      </c>
      <c r="I168" s="1">
        <v>9</v>
      </c>
      <c r="J168" s="1">
        <v>45</v>
      </c>
      <c r="K168" s="1">
        <v>4</v>
      </c>
      <c r="L168" s="1">
        <v>149</v>
      </c>
      <c r="M168" s="1">
        <v>10</v>
      </c>
      <c r="N168" s="2">
        <v>5</v>
      </c>
      <c r="O168" s="7">
        <f t="shared" ca="1" si="4"/>
        <v>2</v>
      </c>
      <c r="P168" s="6" t="str">
        <f t="shared" ca="1" si="5"/>
        <v>No Bounes</v>
      </c>
      <c r="Q168" t="str">
        <f>TEXT(data[[#This Row],[Join_Date]],"mmmm")</f>
        <v>November</v>
      </c>
      <c r="R168" t="str">
        <f>TEXT(data[[#This Row],[Join_Date]],"yyyy")</f>
        <v>2023</v>
      </c>
    </row>
    <row r="169" spans="1:18">
      <c r="A169" s="8" t="s">
        <v>201</v>
      </c>
      <c r="B169" s="1" t="s">
        <v>30</v>
      </c>
      <c r="C169" s="1" t="s">
        <v>23</v>
      </c>
      <c r="D169" s="1" t="s">
        <v>31</v>
      </c>
      <c r="E169" s="5">
        <v>44398</v>
      </c>
      <c r="F169" s="1">
        <v>1.2</v>
      </c>
      <c r="G169" s="1">
        <v>114263.22</v>
      </c>
      <c r="H169" s="1">
        <v>4</v>
      </c>
      <c r="I169" s="1">
        <v>14</v>
      </c>
      <c r="J169" s="1">
        <v>57</v>
      </c>
      <c r="K169" s="1">
        <v>4</v>
      </c>
      <c r="L169" s="1">
        <v>55</v>
      </c>
      <c r="M169" s="1">
        <v>8</v>
      </c>
      <c r="N169" s="2">
        <v>10</v>
      </c>
      <c r="O169" s="7">
        <f t="shared" ca="1" si="4"/>
        <v>5</v>
      </c>
      <c r="P169" s="6" t="str">
        <f t="shared" ca="1" si="5"/>
        <v>No Bounes</v>
      </c>
      <c r="Q169" t="str">
        <f>TEXT(data[[#This Row],[Join_Date]],"mmmm")</f>
        <v>July</v>
      </c>
      <c r="R169" t="str">
        <f>TEXT(data[[#This Row],[Join_Date]],"yyyy")</f>
        <v>2021</v>
      </c>
    </row>
    <row r="170" spans="1:18">
      <c r="A170" s="8" t="s">
        <v>202</v>
      </c>
      <c r="B170" s="1" t="s">
        <v>26</v>
      </c>
      <c r="C170" s="1" t="s">
        <v>27</v>
      </c>
      <c r="D170" s="1" t="s">
        <v>21</v>
      </c>
      <c r="E170" s="5">
        <v>45277</v>
      </c>
      <c r="F170" s="1">
        <v>9.6</v>
      </c>
      <c r="G170" s="1">
        <v>95152.27</v>
      </c>
      <c r="H170" s="1">
        <v>1</v>
      </c>
      <c r="I170" s="1">
        <v>13</v>
      </c>
      <c r="J170" s="1">
        <v>35</v>
      </c>
      <c r="K170" s="1">
        <v>5</v>
      </c>
      <c r="L170" s="1">
        <v>118</v>
      </c>
      <c r="M170" s="1">
        <v>8</v>
      </c>
      <c r="N170" s="2">
        <v>6</v>
      </c>
      <c r="O170" s="7">
        <f t="shared" ca="1" si="4"/>
        <v>2</v>
      </c>
      <c r="P170" s="6" t="str">
        <f t="shared" ca="1" si="5"/>
        <v>No Bounes</v>
      </c>
      <c r="Q170" t="str">
        <f>TEXT(data[[#This Row],[Join_Date]],"mmmm")</f>
        <v>December</v>
      </c>
      <c r="R170" t="str">
        <f>TEXT(data[[#This Row],[Join_Date]],"yyyy")</f>
        <v>2023</v>
      </c>
    </row>
    <row r="171" spans="1:18">
      <c r="A171" s="8" t="s">
        <v>203</v>
      </c>
      <c r="B171" s="1" t="s">
        <v>49</v>
      </c>
      <c r="C171" s="1" t="s">
        <v>20</v>
      </c>
      <c r="D171" s="1" t="s">
        <v>28</v>
      </c>
      <c r="E171" s="5">
        <v>45050</v>
      </c>
      <c r="F171" s="1">
        <v>1.3</v>
      </c>
      <c r="G171" s="1">
        <v>87107.839999999997</v>
      </c>
      <c r="H171" s="1">
        <v>3</v>
      </c>
      <c r="I171" s="1">
        <v>5</v>
      </c>
      <c r="J171" s="1">
        <v>56</v>
      </c>
      <c r="K171" s="1">
        <v>6</v>
      </c>
      <c r="L171" s="1">
        <v>110</v>
      </c>
      <c r="M171" s="1">
        <v>5</v>
      </c>
      <c r="N171" s="2">
        <v>2</v>
      </c>
      <c r="O171" s="7">
        <f t="shared" ca="1" si="4"/>
        <v>3</v>
      </c>
      <c r="P171" s="6" t="str">
        <f t="shared" ca="1" si="5"/>
        <v>No Bounes</v>
      </c>
      <c r="Q171" t="str">
        <f>TEXT(data[[#This Row],[Join_Date]],"mmmm")</f>
        <v>May</v>
      </c>
      <c r="R171" t="str">
        <f>TEXT(data[[#This Row],[Join_Date]],"yyyy")</f>
        <v>2023</v>
      </c>
    </row>
    <row r="172" spans="1:18">
      <c r="A172" s="8" t="s">
        <v>204</v>
      </c>
      <c r="B172" s="1" t="s">
        <v>38</v>
      </c>
      <c r="C172" s="1" t="s">
        <v>20</v>
      </c>
      <c r="D172" s="1" t="s">
        <v>36</v>
      </c>
      <c r="E172" s="5">
        <v>44044</v>
      </c>
      <c r="F172" s="1">
        <v>5.2</v>
      </c>
      <c r="G172" s="1">
        <v>112079.07</v>
      </c>
      <c r="H172" s="1">
        <v>3</v>
      </c>
      <c r="I172" s="1">
        <v>12</v>
      </c>
      <c r="J172" s="1">
        <v>45</v>
      </c>
      <c r="K172" s="1">
        <v>5</v>
      </c>
      <c r="L172" s="1">
        <v>90</v>
      </c>
      <c r="M172" s="1">
        <v>5</v>
      </c>
      <c r="N172" s="2">
        <v>5</v>
      </c>
      <c r="O172" s="7">
        <f t="shared" ca="1" si="4"/>
        <v>6</v>
      </c>
      <c r="P172" s="6" t="str">
        <f t="shared" ca="1" si="5"/>
        <v>No Bounes</v>
      </c>
      <c r="Q172" t="str">
        <f>TEXT(data[[#This Row],[Join_Date]],"mmmm")</f>
        <v>August</v>
      </c>
      <c r="R172" t="str">
        <f>TEXT(data[[#This Row],[Join_Date]],"yyyy")</f>
        <v>2020</v>
      </c>
    </row>
    <row r="173" spans="1:18">
      <c r="A173" s="8" t="s">
        <v>205</v>
      </c>
      <c r="B173" s="1" t="s">
        <v>19</v>
      </c>
      <c r="C173" s="1" t="s">
        <v>27</v>
      </c>
      <c r="D173" s="1" t="s">
        <v>31</v>
      </c>
      <c r="E173" s="5">
        <v>44538</v>
      </c>
      <c r="F173" s="1">
        <v>5.4</v>
      </c>
      <c r="G173" s="1">
        <v>76889.850000000006</v>
      </c>
      <c r="H173" s="1">
        <v>5</v>
      </c>
      <c r="I173" s="1">
        <v>7</v>
      </c>
      <c r="J173" s="1">
        <v>42</v>
      </c>
      <c r="K173" s="1">
        <v>5</v>
      </c>
      <c r="L173" s="1">
        <v>132</v>
      </c>
      <c r="M173" s="1">
        <v>4</v>
      </c>
      <c r="N173" s="2">
        <v>8</v>
      </c>
      <c r="O173" s="7">
        <f t="shared" ca="1" si="4"/>
        <v>4</v>
      </c>
      <c r="P173" s="6" t="str">
        <f t="shared" ca="1" si="5"/>
        <v>No Bounes</v>
      </c>
      <c r="Q173" t="str">
        <f>TEXT(data[[#This Row],[Join_Date]],"mmmm")</f>
        <v>December</v>
      </c>
      <c r="R173" t="str">
        <f>TEXT(data[[#This Row],[Join_Date]],"yyyy")</f>
        <v>2021</v>
      </c>
    </row>
    <row r="174" spans="1:18">
      <c r="A174" s="8" t="s">
        <v>206</v>
      </c>
      <c r="B174" s="1" t="s">
        <v>49</v>
      </c>
      <c r="C174" s="1" t="s">
        <v>27</v>
      </c>
      <c r="D174" s="1" t="s">
        <v>24</v>
      </c>
      <c r="E174" s="5">
        <v>45005</v>
      </c>
      <c r="F174" s="1">
        <v>2.1</v>
      </c>
      <c r="G174" s="1">
        <v>74647.600000000006</v>
      </c>
      <c r="H174" s="1">
        <v>4</v>
      </c>
      <c r="I174" s="1">
        <v>10</v>
      </c>
      <c r="J174" s="1">
        <v>31</v>
      </c>
      <c r="K174" s="1">
        <v>1</v>
      </c>
      <c r="L174" s="1">
        <v>96</v>
      </c>
      <c r="M174" s="1">
        <v>4</v>
      </c>
      <c r="N174" s="2">
        <v>3</v>
      </c>
      <c r="O174" s="7">
        <f t="shared" ca="1" si="4"/>
        <v>3</v>
      </c>
      <c r="P174" s="6" t="str">
        <f t="shared" ca="1" si="5"/>
        <v>No Bounes</v>
      </c>
      <c r="Q174" t="str">
        <f>TEXT(data[[#This Row],[Join_Date]],"mmmm")</f>
        <v>March</v>
      </c>
      <c r="R174" t="str">
        <f>TEXT(data[[#This Row],[Join_Date]],"yyyy")</f>
        <v>2023</v>
      </c>
    </row>
    <row r="175" spans="1:18">
      <c r="A175" s="8" t="s">
        <v>207</v>
      </c>
      <c r="B175" s="1" t="s">
        <v>30</v>
      </c>
      <c r="C175" s="1" t="s">
        <v>39</v>
      </c>
      <c r="D175" s="1" t="s">
        <v>31</v>
      </c>
      <c r="E175" s="5">
        <v>45001</v>
      </c>
      <c r="F175" s="1">
        <v>5.8</v>
      </c>
      <c r="G175" s="1">
        <v>54383.39</v>
      </c>
      <c r="H175" s="1">
        <v>2</v>
      </c>
      <c r="I175" s="1">
        <v>9</v>
      </c>
      <c r="J175" s="1">
        <v>39</v>
      </c>
      <c r="K175" s="1">
        <v>1</v>
      </c>
      <c r="L175" s="1">
        <v>132</v>
      </c>
      <c r="M175" s="1">
        <v>9</v>
      </c>
      <c r="N175" s="2">
        <v>4</v>
      </c>
      <c r="O175" s="7">
        <f t="shared" ca="1" si="4"/>
        <v>3</v>
      </c>
      <c r="P175" s="6" t="str">
        <f t="shared" ca="1" si="5"/>
        <v>No Bounes</v>
      </c>
      <c r="Q175" t="str">
        <f>TEXT(data[[#This Row],[Join_Date]],"mmmm")</f>
        <v>March</v>
      </c>
      <c r="R175" t="str">
        <f>TEXT(data[[#This Row],[Join_Date]],"yyyy")</f>
        <v>2023</v>
      </c>
    </row>
    <row r="176" spans="1:18">
      <c r="A176" s="8" t="s">
        <v>208</v>
      </c>
      <c r="B176" s="1" t="s">
        <v>19</v>
      </c>
      <c r="C176" s="1" t="s">
        <v>45</v>
      </c>
      <c r="D176" s="1" t="s">
        <v>36</v>
      </c>
      <c r="E176" s="5">
        <v>45258</v>
      </c>
      <c r="F176" s="1">
        <v>14.4</v>
      </c>
      <c r="G176" s="1">
        <v>222849.86</v>
      </c>
      <c r="H176" s="1">
        <v>1</v>
      </c>
      <c r="I176" s="1">
        <v>13</v>
      </c>
      <c r="J176" s="1">
        <v>31</v>
      </c>
      <c r="K176" s="1">
        <v>6</v>
      </c>
      <c r="L176" s="1">
        <v>128</v>
      </c>
      <c r="M176" s="1">
        <v>9</v>
      </c>
      <c r="N176" s="2">
        <v>1</v>
      </c>
      <c r="O176" s="7">
        <f t="shared" ca="1" si="4"/>
        <v>2</v>
      </c>
      <c r="P176" s="6" t="str">
        <f t="shared" ca="1" si="5"/>
        <v>No Bounes</v>
      </c>
      <c r="Q176" t="str">
        <f>TEXT(data[[#This Row],[Join_Date]],"mmmm")</f>
        <v>November</v>
      </c>
      <c r="R176" t="str">
        <f>TEXT(data[[#This Row],[Join_Date]],"yyyy")</f>
        <v>2023</v>
      </c>
    </row>
    <row r="177" spans="1:18">
      <c r="A177" s="8" t="s">
        <v>209</v>
      </c>
      <c r="B177" s="1" t="s">
        <v>26</v>
      </c>
      <c r="C177" s="1" t="s">
        <v>23</v>
      </c>
      <c r="D177" s="1" t="s">
        <v>24</v>
      </c>
      <c r="E177" s="5">
        <v>44986</v>
      </c>
      <c r="F177" s="1">
        <v>14.1</v>
      </c>
      <c r="G177" s="1">
        <v>164987.96</v>
      </c>
      <c r="H177" s="1">
        <v>4</v>
      </c>
      <c r="I177" s="1">
        <v>10</v>
      </c>
      <c r="J177" s="1">
        <v>30</v>
      </c>
      <c r="K177" s="1">
        <v>8</v>
      </c>
      <c r="L177" s="1">
        <v>111</v>
      </c>
      <c r="M177" s="1">
        <v>3</v>
      </c>
      <c r="N177" s="2">
        <v>7</v>
      </c>
      <c r="O177" s="7">
        <f t="shared" ca="1" si="4"/>
        <v>3</v>
      </c>
      <c r="P177" s="6" t="str">
        <f t="shared" ca="1" si="5"/>
        <v>No Bounes</v>
      </c>
      <c r="Q177" t="str">
        <f>TEXT(data[[#This Row],[Join_Date]],"mmmm")</f>
        <v>March</v>
      </c>
      <c r="R177" t="str">
        <f>TEXT(data[[#This Row],[Join_Date]],"yyyy")</f>
        <v>2023</v>
      </c>
    </row>
    <row r="178" spans="1:18">
      <c r="A178" s="8" t="s">
        <v>210</v>
      </c>
      <c r="B178" s="1" t="s">
        <v>30</v>
      </c>
      <c r="C178" s="1" t="s">
        <v>45</v>
      </c>
      <c r="D178" s="1" t="s">
        <v>28</v>
      </c>
      <c r="E178" s="5">
        <v>44473</v>
      </c>
      <c r="F178" s="1">
        <v>12.6</v>
      </c>
      <c r="G178" s="1">
        <v>185599.81</v>
      </c>
      <c r="H178" s="1">
        <v>1</v>
      </c>
      <c r="I178" s="1">
        <v>9</v>
      </c>
      <c r="J178" s="1">
        <v>47</v>
      </c>
      <c r="K178" s="1">
        <v>8</v>
      </c>
      <c r="L178" s="1">
        <v>85</v>
      </c>
      <c r="M178" s="1">
        <v>9</v>
      </c>
      <c r="N178" s="2">
        <v>5</v>
      </c>
      <c r="O178" s="7">
        <f t="shared" ca="1" si="4"/>
        <v>5</v>
      </c>
      <c r="P178" s="6" t="str">
        <f t="shared" ca="1" si="5"/>
        <v>No Bounes</v>
      </c>
      <c r="Q178" t="str">
        <f>TEXT(data[[#This Row],[Join_Date]],"mmmm")</f>
        <v>October</v>
      </c>
      <c r="R178" t="str">
        <f>TEXT(data[[#This Row],[Join_Date]],"yyyy")</f>
        <v>2021</v>
      </c>
    </row>
    <row r="179" spans="1:18">
      <c r="A179" s="8" t="s">
        <v>211</v>
      </c>
      <c r="B179" s="1" t="s">
        <v>26</v>
      </c>
      <c r="C179" s="1" t="s">
        <v>27</v>
      </c>
      <c r="D179" s="1" t="s">
        <v>28</v>
      </c>
      <c r="E179" s="5">
        <v>45223</v>
      </c>
      <c r="F179" s="1">
        <v>2.4</v>
      </c>
      <c r="G179" s="1">
        <v>74889.63</v>
      </c>
      <c r="H179" s="1">
        <v>4</v>
      </c>
      <c r="I179" s="1">
        <v>12</v>
      </c>
      <c r="J179" s="1">
        <v>59</v>
      </c>
      <c r="K179" s="1">
        <v>2</v>
      </c>
      <c r="L179" s="1">
        <v>83</v>
      </c>
      <c r="M179" s="1">
        <v>10</v>
      </c>
      <c r="N179" s="2">
        <v>3</v>
      </c>
      <c r="O179" s="7">
        <f t="shared" ca="1" si="4"/>
        <v>2</v>
      </c>
      <c r="P179" s="6" t="str">
        <f t="shared" ca="1" si="5"/>
        <v>No Bounes</v>
      </c>
      <c r="Q179" t="str">
        <f>TEXT(data[[#This Row],[Join_Date]],"mmmm")</f>
        <v>October</v>
      </c>
      <c r="R179" t="str">
        <f>TEXT(data[[#This Row],[Join_Date]],"yyyy")</f>
        <v>2023</v>
      </c>
    </row>
    <row r="180" spans="1:18">
      <c r="A180" s="8" t="s">
        <v>212</v>
      </c>
      <c r="B180" s="1" t="s">
        <v>26</v>
      </c>
      <c r="C180" s="1" t="s">
        <v>45</v>
      </c>
      <c r="D180" s="1" t="s">
        <v>21</v>
      </c>
      <c r="E180" s="5">
        <v>44865</v>
      </c>
      <c r="F180" s="1">
        <v>14.1</v>
      </c>
      <c r="G180" s="1">
        <v>198644.22</v>
      </c>
      <c r="H180" s="1">
        <v>5</v>
      </c>
      <c r="I180" s="1">
        <v>8</v>
      </c>
      <c r="J180" s="1">
        <v>38</v>
      </c>
      <c r="K180" s="1">
        <v>4</v>
      </c>
      <c r="L180" s="1">
        <v>109</v>
      </c>
      <c r="M180" s="1">
        <v>5</v>
      </c>
      <c r="N180" s="2">
        <v>2</v>
      </c>
      <c r="O180" s="7">
        <f t="shared" ca="1" si="4"/>
        <v>3</v>
      </c>
      <c r="P180" s="6" t="str">
        <f t="shared" ca="1" si="5"/>
        <v>No Bounes</v>
      </c>
      <c r="Q180" t="str">
        <f>TEXT(data[[#This Row],[Join_Date]],"mmmm")</f>
        <v>October</v>
      </c>
      <c r="R180" t="str">
        <f>TEXT(data[[#This Row],[Join_Date]],"yyyy")</f>
        <v>2022</v>
      </c>
    </row>
    <row r="181" spans="1:18">
      <c r="A181" s="8" t="s">
        <v>213</v>
      </c>
      <c r="B181" s="1" t="s">
        <v>26</v>
      </c>
      <c r="C181" s="1" t="s">
        <v>39</v>
      </c>
      <c r="D181" s="1" t="s">
        <v>21</v>
      </c>
      <c r="E181" s="5">
        <v>44865</v>
      </c>
      <c r="F181" s="1">
        <v>10.7</v>
      </c>
      <c r="G181" s="1">
        <v>75393.16</v>
      </c>
      <c r="H181" s="1">
        <v>4</v>
      </c>
      <c r="I181" s="1">
        <v>7</v>
      </c>
      <c r="J181" s="1">
        <v>33</v>
      </c>
      <c r="K181" s="1">
        <v>5</v>
      </c>
      <c r="L181" s="1">
        <v>104</v>
      </c>
      <c r="M181" s="1">
        <v>1</v>
      </c>
      <c r="N181" s="2">
        <v>5</v>
      </c>
      <c r="O181" s="7">
        <f t="shared" ca="1" si="4"/>
        <v>3</v>
      </c>
      <c r="P181" s="6" t="str">
        <f t="shared" ca="1" si="5"/>
        <v>No Bounes</v>
      </c>
      <c r="Q181" t="str">
        <f>TEXT(data[[#This Row],[Join_Date]],"mmmm")</f>
        <v>October</v>
      </c>
      <c r="R181" t="str">
        <f>TEXT(data[[#This Row],[Join_Date]],"yyyy")</f>
        <v>2022</v>
      </c>
    </row>
    <row r="182" spans="1:18">
      <c r="A182" s="8" t="s">
        <v>214</v>
      </c>
      <c r="B182" s="1" t="s">
        <v>38</v>
      </c>
      <c r="C182" s="1" t="s">
        <v>45</v>
      </c>
      <c r="D182" s="1" t="s">
        <v>28</v>
      </c>
      <c r="E182" s="5">
        <v>44530</v>
      </c>
      <c r="F182" s="1">
        <v>2.2999999999999998</v>
      </c>
      <c r="G182" s="1">
        <v>142143.01999999999</v>
      </c>
      <c r="H182" s="1">
        <v>2</v>
      </c>
      <c r="I182" s="1">
        <v>12</v>
      </c>
      <c r="J182" s="1">
        <v>44</v>
      </c>
      <c r="K182" s="1">
        <v>6</v>
      </c>
      <c r="L182" s="1">
        <v>65</v>
      </c>
      <c r="M182" s="1">
        <v>1</v>
      </c>
      <c r="N182" s="2">
        <v>9</v>
      </c>
      <c r="O182" s="7">
        <f t="shared" ca="1" si="4"/>
        <v>4</v>
      </c>
      <c r="P182" s="6" t="str">
        <f t="shared" ca="1" si="5"/>
        <v>No Bounes</v>
      </c>
      <c r="Q182" t="str">
        <f>TEXT(data[[#This Row],[Join_Date]],"mmmm")</f>
        <v>November</v>
      </c>
      <c r="R182" t="str">
        <f>TEXT(data[[#This Row],[Join_Date]],"yyyy")</f>
        <v>2021</v>
      </c>
    </row>
    <row r="183" spans="1:18">
      <c r="A183" s="8" t="s">
        <v>215</v>
      </c>
      <c r="B183" s="1" t="s">
        <v>19</v>
      </c>
      <c r="C183" s="1" t="s">
        <v>23</v>
      </c>
      <c r="D183" s="1" t="s">
        <v>21</v>
      </c>
      <c r="E183" s="5">
        <v>45077</v>
      </c>
      <c r="F183" s="1">
        <v>6.4</v>
      </c>
      <c r="G183" s="1">
        <v>121206.81</v>
      </c>
      <c r="H183" s="1">
        <v>1</v>
      </c>
      <c r="I183" s="1">
        <v>8</v>
      </c>
      <c r="J183" s="1">
        <v>58</v>
      </c>
      <c r="K183" s="1">
        <v>5</v>
      </c>
      <c r="L183" s="1">
        <v>122</v>
      </c>
      <c r="M183" s="1">
        <v>7</v>
      </c>
      <c r="N183" s="2">
        <v>5</v>
      </c>
      <c r="O183" s="7">
        <f t="shared" ca="1" si="4"/>
        <v>3</v>
      </c>
      <c r="P183" s="6" t="str">
        <f t="shared" ca="1" si="5"/>
        <v>No Bounes</v>
      </c>
      <c r="Q183" t="str">
        <f>TEXT(data[[#This Row],[Join_Date]],"mmmm")</f>
        <v>May</v>
      </c>
      <c r="R183" t="str">
        <f>TEXT(data[[#This Row],[Join_Date]],"yyyy")</f>
        <v>2023</v>
      </c>
    </row>
    <row r="184" spans="1:18">
      <c r="A184" s="8" t="s">
        <v>216</v>
      </c>
      <c r="B184" s="1" t="s">
        <v>19</v>
      </c>
      <c r="C184" s="1" t="s">
        <v>45</v>
      </c>
      <c r="D184" s="1" t="s">
        <v>36</v>
      </c>
      <c r="E184" s="5">
        <v>44755</v>
      </c>
      <c r="F184" s="1">
        <v>1.8</v>
      </c>
      <c r="G184" s="1">
        <v>121204.43</v>
      </c>
      <c r="H184" s="1">
        <v>1</v>
      </c>
      <c r="I184" s="1">
        <v>10</v>
      </c>
      <c r="J184" s="1">
        <v>44</v>
      </c>
      <c r="K184" s="1">
        <v>4</v>
      </c>
      <c r="L184" s="1">
        <v>207</v>
      </c>
      <c r="M184" s="1">
        <v>8</v>
      </c>
      <c r="N184" s="2">
        <v>4</v>
      </c>
      <c r="O184" s="7">
        <f t="shared" ca="1" si="4"/>
        <v>4</v>
      </c>
      <c r="P184" s="6" t="str">
        <f t="shared" ca="1" si="5"/>
        <v>No Bounes</v>
      </c>
      <c r="Q184" t="str">
        <f>TEXT(data[[#This Row],[Join_Date]],"mmmm")</f>
        <v>July</v>
      </c>
      <c r="R184" t="str">
        <f>TEXT(data[[#This Row],[Join_Date]],"yyyy")</f>
        <v>2022</v>
      </c>
    </row>
    <row r="185" spans="1:18">
      <c r="A185" s="8" t="s">
        <v>217</v>
      </c>
      <c r="B185" s="1" t="s">
        <v>49</v>
      </c>
      <c r="C185" s="1" t="s">
        <v>23</v>
      </c>
      <c r="D185" s="1" t="s">
        <v>36</v>
      </c>
      <c r="E185" s="5">
        <v>44048</v>
      </c>
      <c r="F185" s="1">
        <v>13.2</v>
      </c>
      <c r="G185" s="1">
        <v>153066.10999999999</v>
      </c>
      <c r="H185" s="1">
        <v>4</v>
      </c>
      <c r="I185" s="1">
        <v>8</v>
      </c>
      <c r="J185" s="1">
        <v>39</v>
      </c>
      <c r="K185" s="1">
        <v>0</v>
      </c>
      <c r="L185" s="1">
        <v>133</v>
      </c>
      <c r="M185" s="1">
        <v>4</v>
      </c>
      <c r="N185" s="2">
        <v>1</v>
      </c>
      <c r="O185" s="7">
        <f t="shared" ca="1" si="4"/>
        <v>6</v>
      </c>
      <c r="P185" s="6" t="str">
        <f t="shared" ca="1" si="5"/>
        <v>Get Bounes</v>
      </c>
      <c r="Q185" t="str">
        <f>TEXT(data[[#This Row],[Join_Date]],"mmmm")</f>
        <v>August</v>
      </c>
      <c r="R185" t="str">
        <f>TEXT(data[[#This Row],[Join_Date]],"yyyy")</f>
        <v>2020</v>
      </c>
    </row>
    <row r="186" spans="1:18">
      <c r="A186" s="8" t="s">
        <v>218</v>
      </c>
      <c r="B186" s="1" t="s">
        <v>30</v>
      </c>
      <c r="C186" s="1" t="s">
        <v>45</v>
      </c>
      <c r="D186" s="1" t="s">
        <v>28</v>
      </c>
      <c r="E186" s="5">
        <v>44982</v>
      </c>
      <c r="F186" s="1">
        <v>4.7</v>
      </c>
      <c r="G186" s="1">
        <v>153117.10999999999</v>
      </c>
      <c r="H186" s="1">
        <v>1</v>
      </c>
      <c r="I186" s="1">
        <v>8</v>
      </c>
      <c r="J186" s="1">
        <v>39</v>
      </c>
      <c r="K186" s="1">
        <v>3</v>
      </c>
      <c r="L186" s="1">
        <v>95</v>
      </c>
      <c r="M186" s="1">
        <v>10</v>
      </c>
      <c r="N186" s="2">
        <v>2</v>
      </c>
      <c r="O186" s="7">
        <f t="shared" ca="1" si="4"/>
        <v>3</v>
      </c>
      <c r="P186" s="6" t="str">
        <f t="shared" ca="1" si="5"/>
        <v>No Bounes</v>
      </c>
      <c r="Q186" t="str">
        <f>TEXT(data[[#This Row],[Join_Date]],"mmmm")</f>
        <v>February</v>
      </c>
      <c r="R186" t="str">
        <f>TEXT(data[[#This Row],[Join_Date]],"yyyy")</f>
        <v>2023</v>
      </c>
    </row>
    <row r="187" spans="1:18">
      <c r="A187" s="8" t="s">
        <v>219</v>
      </c>
      <c r="B187" s="1" t="s">
        <v>30</v>
      </c>
      <c r="C187" s="1" t="s">
        <v>23</v>
      </c>
      <c r="D187" s="1" t="s">
        <v>24</v>
      </c>
      <c r="E187" s="5">
        <v>43869</v>
      </c>
      <c r="F187" s="1">
        <v>5.3</v>
      </c>
      <c r="G187" s="1">
        <v>118986.2</v>
      </c>
      <c r="H187" s="1">
        <v>3</v>
      </c>
      <c r="I187" s="1">
        <v>9</v>
      </c>
      <c r="J187" s="1">
        <v>39</v>
      </c>
      <c r="K187" s="1">
        <v>4</v>
      </c>
      <c r="L187" s="1">
        <v>95</v>
      </c>
      <c r="M187" s="1">
        <v>6</v>
      </c>
      <c r="N187" s="2">
        <v>1</v>
      </c>
      <c r="O187" s="7">
        <f t="shared" ca="1" si="4"/>
        <v>6</v>
      </c>
      <c r="P187" s="6" t="str">
        <f t="shared" ca="1" si="5"/>
        <v>No Bounes</v>
      </c>
      <c r="Q187" t="str">
        <f>TEXT(data[[#This Row],[Join_Date]],"mmmm")</f>
        <v>February</v>
      </c>
      <c r="R187" t="str">
        <f>TEXT(data[[#This Row],[Join_Date]],"yyyy")</f>
        <v>2020</v>
      </c>
    </row>
    <row r="188" spans="1:18">
      <c r="A188" s="8" t="s">
        <v>220</v>
      </c>
      <c r="B188" s="1" t="s">
        <v>38</v>
      </c>
      <c r="C188" s="1" t="s">
        <v>27</v>
      </c>
      <c r="D188" s="1" t="s">
        <v>28</v>
      </c>
      <c r="E188" s="5">
        <v>44342</v>
      </c>
      <c r="F188" s="1">
        <v>2.7</v>
      </c>
      <c r="G188" s="1">
        <v>67286.740000000005</v>
      </c>
      <c r="H188" s="1">
        <v>5</v>
      </c>
      <c r="I188" s="1">
        <v>9</v>
      </c>
      <c r="J188" s="1">
        <v>53</v>
      </c>
      <c r="K188" s="1">
        <v>6</v>
      </c>
      <c r="L188" s="1">
        <v>126</v>
      </c>
      <c r="M188" s="1">
        <v>6</v>
      </c>
      <c r="N188" s="2">
        <v>1</v>
      </c>
      <c r="O188" s="7">
        <f t="shared" ca="1" si="4"/>
        <v>5</v>
      </c>
      <c r="P188" s="6" t="str">
        <f t="shared" ca="1" si="5"/>
        <v>No Bounes</v>
      </c>
      <c r="Q188" t="str">
        <f>TEXT(data[[#This Row],[Join_Date]],"mmmm")</f>
        <v>May</v>
      </c>
      <c r="R188" t="str">
        <f>TEXT(data[[#This Row],[Join_Date]],"yyyy")</f>
        <v>2021</v>
      </c>
    </row>
    <row r="189" spans="1:18">
      <c r="A189" s="8" t="s">
        <v>221</v>
      </c>
      <c r="B189" s="1" t="s">
        <v>26</v>
      </c>
      <c r="C189" s="1" t="s">
        <v>39</v>
      </c>
      <c r="D189" s="1" t="s">
        <v>28</v>
      </c>
      <c r="E189" s="5">
        <v>44971</v>
      </c>
      <c r="F189" s="1">
        <v>14.8</v>
      </c>
      <c r="G189" s="1">
        <v>84845.62</v>
      </c>
      <c r="H189" s="1">
        <v>2</v>
      </c>
      <c r="I189" s="1">
        <v>7</v>
      </c>
      <c r="J189" s="1">
        <v>52</v>
      </c>
      <c r="K189" s="1">
        <v>7</v>
      </c>
      <c r="L189" s="1">
        <v>83</v>
      </c>
      <c r="M189" s="1">
        <v>9</v>
      </c>
      <c r="N189" s="2">
        <v>3</v>
      </c>
      <c r="O189" s="7">
        <f t="shared" ca="1" si="4"/>
        <v>3</v>
      </c>
      <c r="P189" s="6" t="str">
        <f t="shared" ca="1" si="5"/>
        <v>No Bounes</v>
      </c>
      <c r="Q189" t="str">
        <f>TEXT(data[[#This Row],[Join_Date]],"mmmm")</f>
        <v>February</v>
      </c>
      <c r="R189" t="str">
        <f>TEXT(data[[#This Row],[Join_Date]],"yyyy")</f>
        <v>2023</v>
      </c>
    </row>
    <row r="190" spans="1:18">
      <c r="A190" s="8" t="s">
        <v>222</v>
      </c>
      <c r="B190" s="1" t="s">
        <v>30</v>
      </c>
      <c r="C190" s="1" t="s">
        <v>27</v>
      </c>
      <c r="D190" s="1" t="s">
        <v>31</v>
      </c>
      <c r="E190" s="5">
        <v>44108</v>
      </c>
      <c r="F190" s="1">
        <v>12.2</v>
      </c>
      <c r="G190" s="1">
        <v>108372.51</v>
      </c>
      <c r="H190" s="1">
        <v>5</v>
      </c>
      <c r="I190" s="1">
        <v>14</v>
      </c>
      <c r="J190" s="1">
        <v>33</v>
      </c>
      <c r="K190" s="1">
        <v>1</v>
      </c>
      <c r="L190" s="1">
        <v>133</v>
      </c>
      <c r="M190" s="1">
        <v>8</v>
      </c>
      <c r="N190" s="2">
        <v>3</v>
      </c>
      <c r="O190" s="7">
        <f t="shared" ca="1" si="4"/>
        <v>6</v>
      </c>
      <c r="P190" s="6" t="str">
        <f t="shared" ca="1" si="5"/>
        <v>Get Bounes</v>
      </c>
      <c r="Q190" t="str">
        <f>TEXT(data[[#This Row],[Join_Date]],"mmmm")</f>
        <v>October</v>
      </c>
      <c r="R190" t="str">
        <f>TEXT(data[[#This Row],[Join_Date]],"yyyy")</f>
        <v>2020</v>
      </c>
    </row>
    <row r="191" spans="1:18">
      <c r="A191" s="8" t="s">
        <v>223</v>
      </c>
      <c r="B191" s="1" t="s">
        <v>38</v>
      </c>
      <c r="C191" s="1" t="s">
        <v>39</v>
      </c>
      <c r="D191" s="1" t="s">
        <v>24</v>
      </c>
      <c r="E191" s="5">
        <v>44539</v>
      </c>
      <c r="F191" s="1">
        <v>1.7</v>
      </c>
      <c r="G191" s="1">
        <v>46255.199999999997</v>
      </c>
      <c r="H191" s="1">
        <v>1</v>
      </c>
      <c r="I191" s="1">
        <v>9</v>
      </c>
      <c r="J191" s="1">
        <v>49</v>
      </c>
      <c r="K191" s="1">
        <v>3</v>
      </c>
      <c r="L191" s="1">
        <v>62</v>
      </c>
      <c r="M191" s="1">
        <v>2</v>
      </c>
      <c r="N191" s="2">
        <v>7</v>
      </c>
      <c r="O191" s="7">
        <f t="shared" ca="1" si="4"/>
        <v>4</v>
      </c>
      <c r="P191" s="6" t="str">
        <f t="shared" ca="1" si="5"/>
        <v>No Bounes</v>
      </c>
      <c r="Q191" t="str">
        <f>TEXT(data[[#This Row],[Join_Date]],"mmmm")</f>
        <v>December</v>
      </c>
      <c r="R191" t="str">
        <f>TEXT(data[[#This Row],[Join_Date]],"yyyy")</f>
        <v>2021</v>
      </c>
    </row>
    <row r="192" spans="1:18">
      <c r="A192" s="8" t="s">
        <v>224</v>
      </c>
      <c r="B192" s="1" t="s">
        <v>26</v>
      </c>
      <c r="C192" s="1" t="s">
        <v>45</v>
      </c>
      <c r="D192" s="1" t="s">
        <v>21</v>
      </c>
      <c r="E192" s="5">
        <v>44828</v>
      </c>
      <c r="F192" s="1">
        <v>7.6</v>
      </c>
      <c r="G192" s="1">
        <v>162235.13</v>
      </c>
      <c r="H192" s="1">
        <v>1</v>
      </c>
      <c r="I192" s="1">
        <v>13</v>
      </c>
      <c r="J192" s="1">
        <v>25</v>
      </c>
      <c r="K192" s="1">
        <v>1</v>
      </c>
      <c r="L192" s="1">
        <v>42</v>
      </c>
      <c r="M192" s="1">
        <v>3</v>
      </c>
      <c r="N192" s="2">
        <v>3</v>
      </c>
      <c r="O192" s="7">
        <f t="shared" ca="1" si="4"/>
        <v>4</v>
      </c>
      <c r="P192" s="6" t="str">
        <f t="shared" ca="1" si="5"/>
        <v>No Bounes</v>
      </c>
      <c r="Q192" t="str">
        <f>TEXT(data[[#This Row],[Join_Date]],"mmmm")</f>
        <v>September</v>
      </c>
      <c r="R192" t="str">
        <f>TEXT(data[[#This Row],[Join_Date]],"yyyy")</f>
        <v>2022</v>
      </c>
    </row>
    <row r="193" spans="1:18">
      <c r="A193" s="8" t="s">
        <v>225</v>
      </c>
      <c r="B193" s="1" t="s">
        <v>59</v>
      </c>
      <c r="C193" s="1" t="s">
        <v>20</v>
      </c>
      <c r="D193" s="1" t="s">
        <v>28</v>
      </c>
      <c r="E193" s="5">
        <v>45126</v>
      </c>
      <c r="F193" s="1">
        <v>10.4</v>
      </c>
      <c r="G193" s="1">
        <v>123198.91</v>
      </c>
      <c r="H193" s="1">
        <v>3</v>
      </c>
      <c r="I193" s="1">
        <v>1</v>
      </c>
      <c r="J193" s="1">
        <v>29</v>
      </c>
      <c r="K193" s="1">
        <v>0</v>
      </c>
      <c r="L193" s="1">
        <v>98</v>
      </c>
      <c r="M193" s="1">
        <v>8</v>
      </c>
      <c r="N193" s="2">
        <v>5</v>
      </c>
      <c r="O193" s="7">
        <f t="shared" ca="1" si="4"/>
        <v>3</v>
      </c>
      <c r="P193" s="6" t="str">
        <f t="shared" ca="1" si="5"/>
        <v>No Bounes</v>
      </c>
      <c r="Q193" t="str">
        <f>TEXT(data[[#This Row],[Join_Date]],"mmmm")</f>
        <v>July</v>
      </c>
      <c r="R193" t="str">
        <f>TEXT(data[[#This Row],[Join_Date]],"yyyy")</f>
        <v>2023</v>
      </c>
    </row>
    <row r="194" spans="1:18">
      <c r="A194" s="8" t="s">
        <v>226</v>
      </c>
      <c r="B194" s="1" t="s">
        <v>26</v>
      </c>
      <c r="C194" s="1" t="s">
        <v>39</v>
      </c>
      <c r="D194" s="1" t="s">
        <v>21</v>
      </c>
      <c r="E194" s="5">
        <v>44797</v>
      </c>
      <c r="F194" s="1">
        <v>9.9</v>
      </c>
      <c r="G194" s="1">
        <v>69706.850000000006</v>
      </c>
      <c r="H194" s="1">
        <v>5</v>
      </c>
      <c r="I194" s="1">
        <v>3</v>
      </c>
      <c r="J194" s="1">
        <v>29</v>
      </c>
      <c r="K194" s="1">
        <v>9</v>
      </c>
      <c r="L194" s="1">
        <v>110</v>
      </c>
      <c r="M194" s="1">
        <v>9</v>
      </c>
      <c r="N194" s="2">
        <v>2</v>
      </c>
      <c r="O194" s="7">
        <f t="shared" ca="1" si="4"/>
        <v>4</v>
      </c>
      <c r="P194" s="6" t="str">
        <f t="shared" ca="1" si="5"/>
        <v>No Bounes</v>
      </c>
      <c r="Q194" t="str">
        <f>TEXT(data[[#This Row],[Join_Date]],"mmmm")</f>
        <v>August</v>
      </c>
      <c r="R194" t="str">
        <f>TEXT(data[[#This Row],[Join_Date]],"yyyy")</f>
        <v>2022</v>
      </c>
    </row>
    <row r="195" spans="1:18">
      <c r="A195" s="8" t="s">
        <v>227</v>
      </c>
      <c r="B195" s="1" t="s">
        <v>38</v>
      </c>
      <c r="C195" s="1" t="s">
        <v>45</v>
      </c>
      <c r="D195" s="1" t="s">
        <v>31</v>
      </c>
      <c r="E195" s="5">
        <v>45204</v>
      </c>
      <c r="F195" s="1">
        <v>13.9</v>
      </c>
      <c r="G195" s="1">
        <v>203373.73</v>
      </c>
      <c r="H195" s="1">
        <v>4</v>
      </c>
      <c r="I195" s="1">
        <v>10</v>
      </c>
      <c r="J195" s="1">
        <v>23</v>
      </c>
      <c r="K195" s="1">
        <v>4</v>
      </c>
      <c r="L195" s="1">
        <v>101</v>
      </c>
      <c r="M195" s="1">
        <v>3</v>
      </c>
      <c r="N195" s="2">
        <v>4</v>
      </c>
      <c r="O195" s="7">
        <f t="shared" ref="O195:O251" ca="1" si="6">DATEDIF(E195,TODAY(),"y")</f>
        <v>3</v>
      </c>
      <c r="P195" s="6" t="str">
        <f t="shared" ref="P195:P251" ca="1" si="7">IF(AND(O195&gt;5,F195&gt;10),"Get Bounes","No Bounes")</f>
        <v>No Bounes</v>
      </c>
      <c r="Q195" t="str">
        <f>TEXT(data[[#This Row],[Join_Date]],"mmmm")</f>
        <v>October</v>
      </c>
      <c r="R195" t="str">
        <f>TEXT(data[[#This Row],[Join_Date]],"yyyy")</f>
        <v>2023</v>
      </c>
    </row>
    <row r="196" spans="1:18">
      <c r="A196" s="8" t="s">
        <v>228</v>
      </c>
      <c r="B196" s="1" t="s">
        <v>49</v>
      </c>
      <c r="C196" s="1" t="s">
        <v>23</v>
      </c>
      <c r="D196" s="1" t="s">
        <v>31</v>
      </c>
      <c r="E196" s="5">
        <v>44406</v>
      </c>
      <c r="F196" s="1">
        <v>4</v>
      </c>
      <c r="G196" s="1">
        <v>122685.26</v>
      </c>
      <c r="H196" s="1">
        <v>5</v>
      </c>
      <c r="I196" s="1">
        <v>5</v>
      </c>
      <c r="J196" s="1">
        <v>41</v>
      </c>
      <c r="K196" s="1">
        <v>7</v>
      </c>
      <c r="L196" s="1">
        <v>89</v>
      </c>
      <c r="M196" s="1">
        <v>3</v>
      </c>
      <c r="N196" s="2">
        <v>4</v>
      </c>
      <c r="O196" s="7">
        <f t="shared" ca="1" si="6"/>
        <v>5</v>
      </c>
      <c r="P196" s="6" t="str">
        <f t="shared" ca="1" si="7"/>
        <v>No Bounes</v>
      </c>
      <c r="Q196" t="str">
        <f>TEXT(data[[#This Row],[Join_Date]],"mmmm")</f>
        <v>July</v>
      </c>
      <c r="R196" t="str">
        <f>TEXT(data[[#This Row],[Join_Date]],"yyyy")</f>
        <v>2021</v>
      </c>
    </row>
    <row r="197" spans="1:18">
      <c r="A197" s="8" t="s">
        <v>229</v>
      </c>
      <c r="B197" s="1" t="s">
        <v>19</v>
      </c>
      <c r="C197" s="1" t="s">
        <v>20</v>
      </c>
      <c r="D197" s="1" t="s">
        <v>36</v>
      </c>
      <c r="E197" s="5">
        <v>44160</v>
      </c>
      <c r="F197" s="1">
        <v>6.9</v>
      </c>
      <c r="G197" s="1">
        <v>103916.63</v>
      </c>
      <c r="H197" s="1">
        <v>5</v>
      </c>
      <c r="I197" s="1">
        <v>9</v>
      </c>
      <c r="J197" s="1">
        <v>19</v>
      </c>
      <c r="K197" s="1">
        <v>2</v>
      </c>
      <c r="L197" s="1">
        <v>131</v>
      </c>
      <c r="M197" s="1">
        <v>3</v>
      </c>
      <c r="N197" s="2">
        <v>4</v>
      </c>
      <c r="O197" s="7">
        <f t="shared" ca="1" si="6"/>
        <v>5</v>
      </c>
      <c r="P197" s="6" t="str">
        <f t="shared" ca="1" si="7"/>
        <v>No Bounes</v>
      </c>
      <c r="Q197" t="str">
        <f>TEXT(data[[#This Row],[Join_Date]],"mmmm")</f>
        <v>November</v>
      </c>
      <c r="R197" t="str">
        <f>TEXT(data[[#This Row],[Join_Date]],"yyyy")</f>
        <v>2020</v>
      </c>
    </row>
    <row r="198" spans="1:18">
      <c r="A198" s="8" t="s">
        <v>230</v>
      </c>
      <c r="B198" s="1" t="s">
        <v>19</v>
      </c>
      <c r="C198" s="1" t="s">
        <v>45</v>
      </c>
      <c r="D198" s="1" t="s">
        <v>21</v>
      </c>
      <c r="E198" s="5">
        <v>43930</v>
      </c>
      <c r="F198" s="1">
        <v>8.6999999999999993</v>
      </c>
      <c r="G198" s="1">
        <v>188939.82</v>
      </c>
      <c r="H198" s="1">
        <v>5</v>
      </c>
      <c r="I198" s="1">
        <v>8</v>
      </c>
      <c r="J198" s="1">
        <v>30</v>
      </c>
      <c r="K198" s="1">
        <v>3</v>
      </c>
      <c r="L198" s="1">
        <v>98</v>
      </c>
      <c r="M198" s="1">
        <v>6</v>
      </c>
      <c r="N198" s="2">
        <v>10</v>
      </c>
      <c r="O198" s="7">
        <f t="shared" ca="1" si="6"/>
        <v>6</v>
      </c>
      <c r="P198" s="6" t="str">
        <f t="shared" ca="1" si="7"/>
        <v>No Bounes</v>
      </c>
      <c r="Q198" t="str">
        <f>TEXT(data[[#This Row],[Join_Date]],"mmmm")</f>
        <v>April</v>
      </c>
      <c r="R198" t="str">
        <f>TEXT(data[[#This Row],[Join_Date]],"yyyy")</f>
        <v>2020</v>
      </c>
    </row>
    <row r="199" spans="1:18">
      <c r="A199" s="8" t="s">
        <v>231</v>
      </c>
      <c r="B199" s="1" t="s">
        <v>49</v>
      </c>
      <c r="C199" s="1" t="s">
        <v>27</v>
      </c>
      <c r="D199" s="1" t="s">
        <v>21</v>
      </c>
      <c r="E199" s="5">
        <v>44336</v>
      </c>
      <c r="F199" s="1">
        <v>7.6</v>
      </c>
      <c r="G199" s="1">
        <v>88304.62</v>
      </c>
      <c r="H199" s="1">
        <v>3</v>
      </c>
      <c r="I199" s="1">
        <v>6</v>
      </c>
      <c r="J199" s="1">
        <v>41</v>
      </c>
      <c r="K199" s="1">
        <v>2</v>
      </c>
      <c r="L199" s="1">
        <v>123</v>
      </c>
      <c r="M199" s="1">
        <v>4</v>
      </c>
      <c r="N199" s="2">
        <v>2</v>
      </c>
      <c r="O199" s="7">
        <f t="shared" ca="1" si="6"/>
        <v>5</v>
      </c>
      <c r="P199" s="6" t="str">
        <f t="shared" ca="1" si="7"/>
        <v>No Bounes</v>
      </c>
      <c r="Q199" t="str">
        <f>TEXT(data[[#This Row],[Join_Date]],"mmmm")</f>
        <v>May</v>
      </c>
      <c r="R199" t="str">
        <f>TEXT(data[[#This Row],[Join_Date]],"yyyy")</f>
        <v>2021</v>
      </c>
    </row>
    <row r="200" spans="1:18">
      <c r="A200" s="8" t="s">
        <v>232</v>
      </c>
      <c r="B200" s="1" t="s">
        <v>19</v>
      </c>
      <c r="C200" s="1" t="s">
        <v>45</v>
      </c>
      <c r="D200" s="1" t="s">
        <v>31</v>
      </c>
      <c r="E200" s="5">
        <v>43906</v>
      </c>
      <c r="F200" s="1">
        <v>12.1</v>
      </c>
      <c r="G200" s="1">
        <v>199694.42</v>
      </c>
      <c r="H200" s="1">
        <v>3</v>
      </c>
      <c r="I200" s="1">
        <v>6</v>
      </c>
      <c r="J200" s="1">
        <v>53</v>
      </c>
      <c r="K200" s="1">
        <v>4</v>
      </c>
      <c r="L200" s="1">
        <v>74</v>
      </c>
      <c r="M200" s="1">
        <v>5</v>
      </c>
      <c r="N200" s="2">
        <v>9</v>
      </c>
      <c r="O200" s="7">
        <f t="shared" ca="1" si="6"/>
        <v>6</v>
      </c>
      <c r="P200" s="6" t="str">
        <f t="shared" ca="1" si="7"/>
        <v>Get Bounes</v>
      </c>
      <c r="Q200" t="str">
        <f>TEXT(data[[#This Row],[Join_Date]],"mmmm")</f>
        <v>March</v>
      </c>
      <c r="R200" t="str">
        <f>TEXT(data[[#This Row],[Join_Date]],"yyyy")</f>
        <v>2020</v>
      </c>
    </row>
    <row r="201" spans="1:18">
      <c r="A201" s="8" t="s">
        <v>233</v>
      </c>
      <c r="B201" s="1" t="s">
        <v>26</v>
      </c>
      <c r="C201" s="1" t="s">
        <v>45</v>
      </c>
      <c r="D201" s="1" t="s">
        <v>21</v>
      </c>
      <c r="E201" s="5">
        <v>45238</v>
      </c>
      <c r="F201" s="1">
        <v>8.6</v>
      </c>
      <c r="G201" s="1">
        <v>155472.88</v>
      </c>
      <c r="H201" s="1">
        <v>3</v>
      </c>
      <c r="I201" s="1">
        <v>12</v>
      </c>
      <c r="J201" s="1">
        <v>26</v>
      </c>
      <c r="K201" s="1">
        <v>3</v>
      </c>
      <c r="L201" s="1">
        <v>99</v>
      </c>
      <c r="M201" s="1">
        <v>6</v>
      </c>
      <c r="N201" s="2">
        <v>3</v>
      </c>
      <c r="O201" s="7">
        <f t="shared" ca="1" si="6"/>
        <v>2</v>
      </c>
      <c r="P201" s="6" t="str">
        <f t="shared" ca="1" si="7"/>
        <v>No Bounes</v>
      </c>
      <c r="Q201" t="str">
        <f>TEXT(data[[#This Row],[Join_Date]],"mmmm")</f>
        <v>November</v>
      </c>
      <c r="R201" t="str">
        <f>TEXT(data[[#This Row],[Join_Date]],"yyyy")</f>
        <v>2023</v>
      </c>
    </row>
    <row r="202" spans="1:18">
      <c r="A202" s="8" t="s">
        <v>234</v>
      </c>
      <c r="B202" s="1" t="s">
        <v>38</v>
      </c>
      <c r="C202" s="1" t="s">
        <v>39</v>
      </c>
      <c r="D202" s="1" t="s">
        <v>21</v>
      </c>
      <c r="E202" s="5">
        <v>44879</v>
      </c>
      <c r="F202" s="1">
        <v>3.1</v>
      </c>
      <c r="G202" s="1">
        <v>52628.480000000003</v>
      </c>
      <c r="H202" s="1">
        <v>1</v>
      </c>
      <c r="I202" s="1">
        <v>9</v>
      </c>
      <c r="J202" s="1">
        <v>19</v>
      </c>
      <c r="K202" s="1">
        <v>3</v>
      </c>
      <c r="L202" s="1">
        <v>105</v>
      </c>
      <c r="M202" s="1">
        <v>9</v>
      </c>
      <c r="N202" s="2">
        <v>9</v>
      </c>
      <c r="O202" s="7">
        <f t="shared" ca="1" si="6"/>
        <v>3</v>
      </c>
      <c r="P202" s="6" t="str">
        <f t="shared" ca="1" si="7"/>
        <v>No Bounes</v>
      </c>
      <c r="Q202" t="str">
        <f>TEXT(data[[#This Row],[Join_Date]],"mmmm")</f>
        <v>November</v>
      </c>
      <c r="R202" t="str">
        <f>TEXT(data[[#This Row],[Join_Date]],"yyyy")</f>
        <v>2022</v>
      </c>
    </row>
    <row r="203" spans="1:18">
      <c r="A203" s="8" t="s">
        <v>235</v>
      </c>
      <c r="B203" s="1" t="s">
        <v>19</v>
      </c>
      <c r="C203" s="1" t="s">
        <v>45</v>
      </c>
      <c r="D203" s="1" t="s">
        <v>24</v>
      </c>
      <c r="E203" s="5">
        <v>44218</v>
      </c>
      <c r="F203" s="1">
        <v>5</v>
      </c>
      <c r="G203" s="1">
        <v>156874.57</v>
      </c>
      <c r="H203" s="1">
        <v>2</v>
      </c>
      <c r="I203" s="1">
        <v>6</v>
      </c>
      <c r="J203" s="1">
        <v>52</v>
      </c>
      <c r="K203" s="1">
        <v>5</v>
      </c>
      <c r="L203" s="1">
        <v>84</v>
      </c>
      <c r="M203" s="1">
        <v>3</v>
      </c>
      <c r="N203" s="2">
        <v>8</v>
      </c>
      <c r="O203" s="7">
        <f t="shared" ca="1" si="6"/>
        <v>5</v>
      </c>
      <c r="P203" s="6" t="str">
        <f t="shared" ca="1" si="7"/>
        <v>No Bounes</v>
      </c>
      <c r="Q203" t="str">
        <f>TEXT(data[[#This Row],[Join_Date]],"mmmm")</f>
        <v>January</v>
      </c>
      <c r="R203" t="str">
        <f>TEXT(data[[#This Row],[Join_Date]],"yyyy")</f>
        <v>2021</v>
      </c>
    </row>
    <row r="204" spans="1:18">
      <c r="A204" s="8" t="s">
        <v>236</v>
      </c>
      <c r="B204" s="1" t="s">
        <v>49</v>
      </c>
      <c r="C204" s="1" t="s">
        <v>20</v>
      </c>
      <c r="D204" s="1" t="s">
        <v>28</v>
      </c>
      <c r="E204" s="5">
        <v>44364</v>
      </c>
      <c r="F204" s="1">
        <v>2.9</v>
      </c>
      <c r="G204" s="1">
        <v>105248.46</v>
      </c>
      <c r="H204" s="1">
        <v>1</v>
      </c>
      <c r="I204" s="1">
        <v>9</v>
      </c>
      <c r="J204" s="1">
        <v>58</v>
      </c>
      <c r="K204" s="1">
        <v>6</v>
      </c>
      <c r="L204" s="1">
        <v>111</v>
      </c>
      <c r="M204" s="1">
        <v>10</v>
      </c>
      <c r="N204" s="2">
        <v>5</v>
      </c>
      <c r="O204" s="7">
        <f t="shared" ca="1" si="6"/>
        <v>5</v>
      </c>
      <c r="P204" s="6" t="str">
        <f t="shared" ca="1" si="7"/>
        <v>No Bounes</v>
      </c>
      <c r="Q204" t="str">
        <f>TEXT(data[[#This Row],[Join_Date]],"mmmm")</f>
        <v>June</v>
      </c>
      <c r="R204" t="str">
        <f>TEXT(data[[#This Row],[Join_Date]],"yyyy")</f>
        <v>2021</v>
      </c>
    </row>
    <row r="205" spans="1:18">
      <c r="A205" s="8" t="s">
        <v>237</v>
      </c>
      <c r="B205" s="1" t="s">
        <v>26</v>
      </c>
      <c r="C205" s="1" t="s">
        <v>20</v>
      </c>
      <c r="D205" s="1" t="s">
        <v>21</v>
      </c>
      <c r="E205" s="5">
        <v>44870</v>
      </c>
      <c r="F205" s="1">
        <v>1.6</v>
      </c>
      <c r="G205" s="1">
        <v>97847.49</v>
      </c>
      <c r="H205" s="1">
        <v>4</v>
      </c>
      <c r="I205" s="1">
        <v>5</v>
      </c>
      <c r="J205" s="1">
        <v>56</v>
      </c>
      <c r="K205" s="1">
        <v>7</v>
      </c>
      <c r="L205" s="1">
        <v>95</v>
      </c>
      <c r="M205" s="1">
        <v>2</v>
      </c>
      <c r="N205" s="2">
        <v>2</v>
      </c>
      <c r="O205" s="7">
        <f t="shared" ca="1" si="6"/>
        <v>3</v>
      </c>
      <c r="P205" s="6" t="str">
        <f t="shared" ca="1" si="7"/>
        <v>No Bounes</v>
      </c>
      <c r="Q205" t="str">
        <f>TEXT(data[[#This Row],[Join_Date]],"mmmm")</f>
        <v>November</v>
      </c>
      <c r="R205" t="str">
        <f>TEXT(data[[#This Row],[Join_Date]],"yyyy")</f>
        <v>2022</v>
      </c>
    </row>
    <row r="206" spans="1:18">
      <c r="A206" s="8" t="s">
        <v>238</v>
      </c>
      <c r="B206" s="1" t="s">
        <v>19</v>
      </c>
      <c r="C206" s="1" t="s">
        <v>39</v>
      </c>
      <c r="D206" s="1" t="s">
        <v>31</v>
      </c>
      <c r="E206" s="5">
        <v>44544</v>
      </c>
      <c r="F206" s="1">
        <v>9.6</v>
      </c>
      <c r="G206" s="1">
        <v>72523.53</v>
      </c>
      <c r="H206" s="1">
        <v>2</v>
      </c>
      <c r="I206" s="1">
        <v>8</v>
      </c>
      <c r="J206" s="1">
        <v>38</v>
      </c>
      <c r="K206" s="1">
        <v>2</v>
      </c>
      <c r="L206" s="1">
        <v>85</v>
      </c>
      <c r="M206" s="1">
        <v>10</v>
      </c>
      <c r="N206" s="2">
        <v>3</v>
      </c>
      <c r="O206" s="7">
        <f t="shared" ca="1" si="6"/>
        <v>4</v>
      </c>
      <c r="P206" s="6" t="str">
        <f t="shared" ca="1" si="7"/>
        <v>No Bounes</v>
      </c>
      <c r="Q206" t="str">
        <f>TEXT(data[[#This Row],[Join_Date]],"mmmm")</f>
        <v>December</v>
      </c>
      <c r="R206" t="str">
        <f>TEXT(data[[#This Row],[Join_Date]],"yyyy")</f>
        <v>2021</v>
      </c>
    </row>
    <row r="207" spans="1:18">
      <c r="A207" s="8" t="s">
        <v>239</v>
      </c>
      <c r="B207" s="1" t="s">
        <v>38</v>
      </c>
      <c r="C207" s="1" t="s">
        <v>45</v>
      </c>
      <c r="D207" s="1" t="s">
        <v>31</v>
      </c>
      <c r="E207" s="5">
        <v>44149</v>
      </c>
      <c r="F207" s="1">
        <v>10.4</v>
      </c>
      <c r="G207" s="1">
        <v>183326.05</v>
      </c>
      <c r="H207" s="1">
        <v>1</v>
      </c>
      <c r="I207" s="1">
        <v>12</v>
      </c>
      <c r="J207" s="1">
        <v>21</v>
      </c>
      <c r="K207" s="1">
        <v>4</v>
      </c>
      <c r="L207" s="1">
        <v>103</v>
      </c>
      <c r="M207" s="1">
        <v>8</v>
      </c>
      <c r="N207" s="2">
        <v>1</v>
      </c>
      <c r="O207" s="7">
        <f t="shared" ca="1" si="6"/>
        <v>5</v>
      </c>
      <c r="P207" s="6" t="str">
        <f t="shared" ca="1" si="7"/>
        <v>No Bounes</v>
      </c>
      <c r="Q207" t="str">
        <f>TEXT(data[[#This Row],[Join_Date]],"mmmm")</f>
        <v>November</v>
      </c>
      <c r="R207" t="str">
        <f>TEXT(data[[#This Row],[Join_Date]],"yyyy")</f>
        <v>2020</v>
      </c>
    </row>
    <row r="208" spans="1:18">
      <c r="A208" s="8" t="s">
        <v>240</v>
      </c>
      <c r="B208" s="1" t="s">
        <v>30</v>
      </c>
      <c r="C208" s="1" t="s">
        <v>39</v>
      </c>
      <c r="D208" s="1" t="s">
        <v>24</v>
      </c>
      <c r="E208" s="5">
        <v>44415</v>
      </c>
      <c r="F208" s="1">
        <v>1.6</v>
      </c>
      <c r="G208" s="1">
        <v>52430.85</v>
      </c>
      <c r="H208" s="1">
        <v>3</v>
      </c>
      <c r="I208" s="1">
        <v>10</v>
      </c>
      <c r="J208" s="1">
        <v>28</v>
      </c>
      <c r="K208" s="1">
        <v>2</v>
      </c>
      <c r="L208" s="1">
        <v>132</v>
      </c>
      <c r="M208" s="1">
        <v>6</v>
      </c>
      <c r="N208" s="2">
        <v>3</v>
      </c>
      <c r="O208" s="7">
        <f t="shared" ca="1" si="6"/>
        <v>5</v>
      </c>
      <c r="P208" s="6" t="str">
        <f t="shared" ca="1" si="7"/>
        <v>No Bounes</v>
      </c>
      <c r="Q208" t="str">
        <f>TEXT(data[[#This Row],[Join_Date]],"mmmm")</f>
        <v>August</v>
      </c>
      <c r="R208" t="str">
        <f>TEXT(data[[#This Row],[Join_Date]],"yyyy")</f>
        <v>2021</v>
      </c>
    </row>
    <row r="209" spans="1:18">
      <c r="A209" s="8" t="s">
        <v>241</v>
      </c>
      <c r="B209" s="1" t="s">
        <v>26</v>
      </c>
      <c r="C209" s="1" t="s">
        <v>39</v>
      </c>
      <c r="D209" s="1" t="s">
        <v>28</v>
      </c>
      <c r="E209" s="5">
        <v>44928</v>
      </c>
      <c r="F209" s="1">
        <v>10.3</v>
      </c>
      <c r="G209" s="1">
        <v>69807.289999999994</v>
      </c>
      <c r="H209" s="1">
        <v>1</v>
      </c>
      <c r="I209" s="1">
        <v>6</v>
      </c>
      <c r="J209" s="1">
        <v>50</v>
      </c>
      <c r="K209" s="1">
        <v>4</v>
      </c>
      <c r="L209" s="1">
        <v>132</v>
      </c>
      <c r="M209" s="1">
        <v>8</v>
      </c>
      <c r="N209" s="2">
        <v>4</v>
      </c>
      <c r="O209" s="7">
        <f t="shared" ca="1" si="6"/>
        <v>3</v>
      </c>
      <c r="P209" s="6" t="str">
        <f t="shared" ca="1" si="7"/>
        <v>No Bounes</v>
      </c>
      <c r="Q209" t="str">
        <f>TEXT(data[[#This Row],[Join_Date]],"mmmm")</f>
        <v>January</v>
      </c>
      <c r="R209" t="str">
        <f>TEXT(data[[#This Row],[Join_Date]],"yyyy")</f>
        <v>2023</v>
      </c>
    </row>
    <row r="210" spans="1:18">
      <c r="A210" s="8" t="s">
        <v>242</v>
      </c>
      <c r="B210" s="1" t="s">
        <v>49</v>
      </c>
      <c r="C210" s="1" t="s">
        <v>45</v>
      </c>
      <c r="D210" s="1" t="s">
        <v>31</v>
      </c>
      <c r="E210" s="5">
        <v>44375</v>
      </c>
      <c r="F210" s="1">
        <v>11.8</v>
      </c>
      <c r="G210" s="1">
        <v>187936.02</v>
      </c>
      <c r="H210" s="1">
        <v>3</v>
      </c>
      <c r="I210" s="1">
        <v>8</v>
      </c>
      <c r="J210" s="1">
        <v>28</v>
      </c>
      <c r="K210" s="1">
        <v>6</v>
      </c>
      <c r="L210" s="1">
        <v>99</v>
      </c>
      <c r="M210" s="1">
        <v>9</v>
      </c>
      <c r="N210" s="2">
        <v>3</v>
      </c>
      <c r="O210" s="7">
        <f t="shared" ca="1" si="6"/>
        <v>5</v>
      </c>
      <c r="P210" s="6" t="str">
        <f t="shared" ca="1" si="7"/>
        <v>No Bounes</v>
      </c>
      <c r="Q210" t="str">
        <f>TEXT(data[[#This Row],[Join_Date]],"mmmm")</f>
        <v>June</v>
      </c>
      <c r="R210" t="str">
        <f>TEXT(data[[#This Row],[Join_Date]],"yyyy")</f>
        <v>2021</v>
      </c>
    </row>
    <row r="211" spans="1:18">
      <c r="A211" s="8" t="s">
        <v>243</v>
      </c>
      <c r="B211" s="1" t="s">
        <v>26</v>
      </c>
      <c r="C211" s="1" t="s">
        <v>27</v>
      </c>
      <c r="D211" s="1" t="s">
        <v>21</v>
      </c>
      <c r="E211" s="5">
        <v>44266</v>
      </c>
      <c r="F211" s="1">
        <v>13.8</v>
      </c>
      <c r="G211" s="1">
        <v>105803.59</v>
      </c>
      <c r="H211" s="1">
        <v>2</v>
      </c>
      <c r="I211" s="1">
        <v>14</v>
      </c>
      <c r="J211" s="1">
        <v>48</v>
      </c>
      <c r="K211" s="1">
        <v>4</v>
      </c>
      <c r="L211" s="1">
        <v>86</v>
      </c>
      <c r="M211" s="1">
        <v>5</v>
      </c>
      <c r="N211" s="2">
        <v>9</v>
      </c>
      <c r="O211" s="7">
        <f t="shared" ca="1" si="6"/>
        <v>5</v>
      </c>
      <c r="P211" s="6" t="str">
        <f t="shared" ca="1" si="7"/>
        <v>No Bounes</v>
      </c>
      <c r="Q211" t="str">
        <f>TEXT(data[[#This Row],[Join_Date]],"mmmm")</f>
        <v>March</v>
      </c>
      <c r="R211" t="str">
        <f>TEXT(data[[#This Row],[Join_Date]],"yyyy")</f>
        <v>2021</v>
      </c>
    </row>
    <row r="212" spans="1:18">
      <c r="A212" s="8" t="s">
        <v>244</v>
      </c>
      <c r="B212" s="1" t="s">
        <v>30</v>
      </c>
      <c r="C212" s="1" t="s">
        <v>20</v>
      </c>
      <c r="D212" s="1" t="s">
        <v>28</v>
      </c>
      <c r="E212" s="5">
        <v>44700</v>
      </c>
      <c r="F212" s="1">
        <v>3.7</v>
      </c>
      <c r="G212" s="1">
        <v>97168.78</v>
      </c>
      <c r="H212" s="1">
        <v>5</v>
      </c>
      <c r="I212" s="1">
        <v>10</v>
      </c>
      <c r="J212" s="1">
        <v>41</v>
      </c>
      <c r="K212" s="1">
        <v>3</v>
      </c>
      <c r="L212" s="1">
        <v>125</v>
      </c>
      <c r="M212" s="1">
        <v>1</v>
      </c>
      <c r="N212" s="2">
        <v>7</v>
      </c>
      <c r="O212" s="7">
        <f t="shared" ca="1" si="6"/>
        <v>4</v>
      </c>
      <c r="P212" s="6" t="str">
        <f t="shared" ca="1" si="7"/>
        <v>No Bounes</v>
      </c>
      <c r="Q212" t="str">
        <f>TEXT(data[[#This Row],[Join_Date]],"mmmm")</f>
        <v>May</v>
      </c>
      <c r="R212" t="str">
        <f>TEXT(data[[#This Row],[Join_Date]],"yyyy")</f>
        <v>2022</v>
      </c>
    </row>
    <row r="213" spans="1:18">
      <c r="A213" s="8" t="s">
        <v>245</v>
      </c>
      <c r="B213" s="1" t="s">
        <v>38</v>
      </c>
      <c r="C213" s="1" t="s">
        <v>20</v>
      </c>
      <c r="D213" s="1" t="s">
        <v>31</v>
      </c>
      <c r="E213" s="5">
        <v>44470</v>
      </c>
      <c r="F213" s="1">
        <v>7.4</v>
      </c>
      <c r="G213" s="1">
        <v>107176.45</v>
      </c>
      <c r="H213" s="1">
        <v>5</v>
      </c>
      <c r="I213" s="1">
        <v>8</v>
      </c>
      <c r="J213" s="1">
        <v>35</v>
      </c>
      <c r="K213" s="1">
        <v>3</v>
      </c>
      <c r="L213" s="1">
        <v>106</v>
      </c>
      <c r="M213" s="1">
        <v>3</v>
      </c>
      <c r="N213" s="2">
        <v>8</v>
      </c>
      <c r="O213" s="7">
        <f t="shared" ca="1" si="6"/>
        <v>5</v>
      </c>
      <c r="P213" s="6" t="str">
        <f t="shared" ca="1" si="7"/>
        <v>No Bounes</v>
      </c>
      <c r="Q213" t="str">
        <f>TEXT(data[[#This Row],[Join_Date]],"mmmm")</f>
        <v>October</v>
      </c>
      <c r="R213" t="str">
        <f>TEXT(data[[#This Row],[Join_Date]],"yyyy")</f>
        <v>2021</v>
      </c>
    </row>
    <row r="214" spans="1:18">
      <c r="A214" s="8" t="s">
        <v>246</v>
      </c>
      <c r="B214" s="1" t="s">
        <v>30</v>
      </c>
      <c r="C214" s="1" t="s">
        <v>27</v>
      </c>
      <c r="D214" s="1" t="s">
        <v>21</v>
      </c>
      <c r="E214" s="5">
        <v>44155</v>
      </c>
      <c r="F214" s="1">
        <v>4.3</v>
      </c>
      <c r="G214" s="1">
        <v>86033.919999999998</v>
      </c>
      <c r="H214" s="1">
        <v>3</v>
      </c>
      <c r="I214" s="1">
        <v>7</v>
      </c>
      <c r="J214" s="1">
        <v>41</v>
      </c>
      <c r="K214" s="1">
        <v>10</v>
      </c>
      <c r="L214" s="1">
        <v>98</v>
      </c>
      <c r="M214" s="1">
        <v>4</v>
      </c>
      <c r="N214" s="2">
        <v>7</v>
      </c>
      <c r="O214" s="7">
        <f t="shared" ca="1" si="6"/>
        <v>5</v>
      </c>
      <c r="P214" s="6" t="str">
        <f t="shared" ca="1" si="7"/>
        <v>No Bounes</v>
      </c>
      <c r="Q214" t="str">
        <f>TEXT(data[[#This Row],[Join_Date]],"mmmm")</f>
        <v>November</v>
      </c>
      <c r="R214" t="str">
        <f>TEXT(data[[#This Row],[Join_Date]],"yyyy")</f>
        <v>2020</v>
      </c>
    </row>
    <row r="215" spans="1:18">
      <c r="A215" s="8" t="s">
        <v>247</v>
      </c>
      <c r="B215" s="1" t="s">
        <v>26</v>
      </c>
      <c r="C215" s="1" t="s">
        <v>45</v>
      </c>
      <c r="D215" s="1" t="s">
        <v>28</v>
      </c>
      <c r="E215" s="5">
        <v>45238</v>
      </c>
      <c r="F215" s="1">
        <v>13.7</v>
      </c>
      <c r="G215" s="1">
        <v>222391.17</v>
      </c>
      <c r="H215" s="1">
        <v>1</v>
      </c>
      <c r="I215" s="1">
        <v>8</v>
      </c>
      <c r="J215" s="1">
        <v>23</v>
      </c>
      <c r="K215" s="1">
        <v>5</v>
      </c>
      <c r="L215" s="1">
        <v>66</v>
      </c>
      <c r="M215" s="1">
        <v>8</v>
      </c>
      <c r="N215" s="2">
        <v>2</v>
      </c>
      <c r="O215" s="7">
        <f t="shared" ca="1" si="6"/>
        <v>2</v>
      </c>
      <c r="P215" s="6" t="str">
        <f t="shared" ca="1" si="7"/>
        <v>No Bounes</v>
      </c>
      <c r="Q215" t="str">
        <f>TEXT(data[[#This Row],[Join_Date]],"mmmm")</f>
        <v>November</v>
      </c>
      <c r="R215" t="str">
        <f>TEXT(data[[#This Row],[Join_Date]],"yyyy")</f>
        <v>2023</v>
      </c>
    </row>
    <row r="216" spans="1:18">
      <c r="A216" s="8" t="s">
        <v>248</v>
      </c>
      <c r="B216" s="1" t="s">
        <v>59</v>
      </c>
      <c r="C216" s="1" t="s">
        <v>45</v>
      </c>
      <c r="D216" s="1" t="s">
        <v>24</v>
      </c>
      <c r="E216" s="5">
        <v>43933</v>
      </c>
      <c r="F216" s="1">
        <v>11.1</v>
      </c>
      <c r="G216" s="1">
        <v>185114.15</v>
      </c>
      <c r="H216" s="1">
        <v>3</v>
      </c>
      <c r="I216" s="1">
        <v>8</v>
      </c>
      <c r="J216" s="1">
        <v>41</v>
      </c>
      <c r="K216" s="1">
        <v>1</v>
      </c>
      <c r="L216" s="1">
        <v>104</v>
      </c>
      <c r="M216" s="1">
        <v>4</v>
      </c>
      <c r="N216" s="2">
        <v>2</v>
      </c>
      <c r="O216" s="7">
        <f t="shared" ca="1" si="6"/>
        <v>6</v>
      </c>
      <c r="P216" s="6" t="str">
        <f t="shared" ca="1" si="7"/>
        <v>Get Bounes</v>
      </c>
      <c r="Q216" t="str">
        <f>TEXT(data[[#This Row],[Join_Date]],"mmmm")</f>
        <v>April</v>
      </c>
      <c r="R216" t="str">
        <f>TEXT(data[[#This Row],[Join_Date]],"yyyy")</f>
        <v>2020</v>
      </c>
    </row>
    <row r="217" spans="1:18">
      <c r="A217" s="8" t="s">
        <v>249</v>
      </c>
      <c r="B217" s="1" t="s">
        <v>38</v>
      </c>
      <c r="C217" s="1" t="s">
        <v>45</v>
      </c>
      <c r="D217" s="1" t="s">
        <v>24</v>
      </c>
      <c r="E217" s="5">
        <v>44224</v>
      </c>
      <c r="F217" s="1">
        <v>7.6</v>
      </c>
      <c r="G217" s="1">
        <v>175662.1</v>
      </c>
      <c r="H217" s="1">
        <v>3</v>
      </c>
      <c r="I217" s="1">
        <v>10</v>
      </c>
      <c r="J217" s="1">
        <v>27</v>
      </c>
      <c r="K217" s="1">
        <v>4</v>
      </c>
      <c r="L217" s="1">
        <v>45</v>
      </c>
      <c r="M217" s="1">
        <v>5</v>
      </c>
      <c r="N217" s="2">
        <v>8</v>
      </c>
      <c r="O217" s="7">
        <f t="shared" ca="1" si="6"/>
        <v>5</v>
      </c>
      <c r="P217" s="6" t="str">
        <f t="shared" ca="1" si="7"/>
        <v>No Bounes</v>
      </c>
      <c r="Q217" t="str">
        <f>TEXT(data[[#This Row],[Join_Date]],"mmmm")</f>
        <v>January</v>
      </c>
      <c r="R217" t="str">
        <f>TEXT(data[[#This Row],[Join_Date]],"yyyy")</f>
        <v>2021</v>
      </c>
    </row>
    <row r="218" spans="1:18">
      <c r="A218" s="8" t="s">
        <v>250</v>
      </c>
      <c r="B218" s="1" t="s">
        <v>49</v>
      </c>
      <c r="C218" s="1" t="s">
        <v>23</v>
      </c>
      <c r="D218" s="1" t="s">
        <v>24</v>
      </c>
      <c r="E218" s="5">
        <v>44168</v>
      </c>
      <c r="F218" s="1">
        <v>9.9</v>
      </c>
      <c r="G218" s="1">
        <v>149394.79</v>
      </c>
      <c r="H218" s="1">
        <v>5</v>
      </c>
      <c r="I218" s="1">
        <v>14</v>
      </c>
      <c r="J218" s="1">
        <v>43</v>
      </c>
      <c r="K218" s="1">
        <v>4</v>
      </c>
      <c r="L218" s="1">
        <v>95</v>
      </c>
      <c r="M218" s="1">
        <v>9</v>
      </c>
      <c r="N218" s="2">
        <v>10</v>
      </c>
      <c r="O218" s="7">
        <f t="shared" ca="1" si="6"/>
        <v>5</v>
      </c>
      <c r="P218" s="6" t="str">
        <f t="shared" ca="1" si="7"/>
        <v>No Bounes</v>
      </c>
      <c r="Q218" t="str">
        <f>TEXT(data[[#This Row],[Join_Date]],"mmmm")</f>
        <v>December</v>
      </c>
      <c r="R218" t="str">
        <f>TEXT(data[[#This Row],[Join_Date]],"yyyy")</f>
        <v>2020</v>
      </c>
    </row>
    <row r="219" spans="1:18">
      <c r="A219" s="8" t="s">
        <v>251</v>
      </c>
      <c r="B219" s="1" t="s">
        <v>26</v>
      </c>
      <c r="C219" s="1" t="s">
        <v>23</v>
      </c>
      <c r="D219" s="1" t="s">
        <v>31</v>
      </c>
      <c r="E219" s="5">
        <v>43930</v>
      </c>
      <c r="F219" s="1">
        <v>7</v>
      </c>
      <c r="G219" s="1">
        <v>136232.99</v>
      </c>
      <c r="H219" s="1">
        <v>1</v>
      </c>
      <c r="I219" s="1">
        <v>13</v>
      </c>
      <c r="J219" s="1">
        <v>39</v>
      </c>
      <c r="K219" s="1">
        <v>5</v>
      </c>
      <c r="L219" s="1">
        <v>145</v>
      </c>
      <c r="M219" s="1">
        <v>8</v>
      </c>
      <c r="N219" s="2">
        <v>7</v>
      </c>
      <c r="O219" s="7">
        <f t="shared" ca="1" si="6"/>
        <v>6</v>
      </c>
      <c r="P219" s="6" t="str">
        <f t="shared" ca="1" si="7"/>
        <v>No Bounes</v>
      </c>
      <c r="Q219" t="str">
        <f>TEXT(data[[#This Row],[Join_Date]],"mmmm")</f>
        <v>April</v>
      </c>
      <c r="R219" t="str">
        <f>TEXT(data[[#This Row],[Join_Date]],"yyyy")</f>
        <v>2020</v>
      </c>
    </row>
    <row r="220" spans="1:18">
      <c r="A220" s="8" t="s">
        <v>252</v>
      </c>
      <c r="B220" s="1" t="s">
        <v>59</v>
      </c>
      <c r="C220" s="1" t="s">
        <v>45</v>
      </c>
      <c r="D220" s="1" t="s">
        <v>36</v>
      </c>
      <c r="E220" s="5">
        <v>43938</v>
      </c>
      <c r="F220" s="1">
        <v>5.3</v>
      </c>
      <c r="G220" s="1">
        <v>147686.39000000001</v>
      </c>
      <c r="H220" s="1">
        <v>4</v>
      </c>
      <c r="I220" s="1">
        <v>8</v>
      </c>
      <c r="J220" s="1">
        <v>29</v>
      </c>
      <c r="K220" s="1">
        <v>3</v>
      </c>
      <c r="L220" s="1">
        <v>142</v>
      </c>
      <c r="M220" s="1">
        <v>6</v>
      </c>
      <c r="N220" s="2">
        <v>6</v>
      </c>
      <c r="O220" s="7">
        <f t="shared" ca="1" si="6"/>
        <v>6</v>
      </c>
      <c r="P220" s="6" t="str">
        <f t="shared" ca="1" si="7"/>
        <v>No Bounes</v>
      </c>
      <c r="Q220" t="str">
        <f>TEXT(data[[#This Row],[Join_Date]],"mmmm")</f>
        <v>April</v>
      </c>
      <c r="R220" t="str">
        <f>TEXT(data[[#This Row],[Join_Date]],"yyyy")</f>
        <v>2020</v>
      </c>
    </row>
    <row r="221" spans="1:18">
      <c r="A221" s="8" t="s">
        <v>253</v>
      </c>
      <c r="B221" s="1" t="s">
        <v>38</v>
      </c>
      <c r="C221" s="1" t="s">
        <v>20</v>
      </c>
      <c r="D221" s="1" t="s">
        <v>31</v>
      </c>
      <c r="E221" s="5">
        <v>44452</v>
      </c>
      <c r="F221" s="1">
        <v>5.2</v>
      </c>
      <c r="G221" s="1">
        <v>102405.03</v>
      </c>
      <c r="H221" s="1">
        <v>5</v>
      </c>
      <c r="I221" s="1">
        <v>10</v>
      </c>
      <c r="J221" s="1">
        <v>34</v>
      </c>
      <c r="K221" s="1">
        <v>6</v>
      </c>
      <c r="L221" s="1">
        <v>129</v>
      </c>
      <c r="M221" s="1">
        <v>3</v>
      </c>
      <c r="N221" s="2">
        <v>2</v>
      </c>
      <c r="O221" s="7">
        <f t="shared" ca="1" si="6"/>
        <v>5</v>
      </c>
      <c r="P221" s="6" t="str">
        <f t="shared" ca="1" si="7"/>
        <v>No Bounes</v>
      </c>
      <c r="Q221" t="str">
        <f>TEXT(data[[#This Row],[Join_Date]],"mmmm")</f>
        <v>September</v>
      </c>
      <c r="R221" t="str">
        <f>TEXT(data[[#This Row],[Join_Date]],"yyyy")</f>
        <v>2021</v>
      </c>
    </row>
    <row r="222" spans="1:18">
      <c r="A222" s="8" t="s">
        <v>254</v>
      </c>
      <c r="B222" s="1" t="s">
        <v>49</v>
      </c>
      <c r="C222" s="1" t="s">
        <v>45</v>
      </c>
      <c r="D222" s="1" t="s">
        <v>28</v>
      </c>
      <c r="E222" s="5">
        <v>44827</v>
      </c>
      <c r="F222" s="1">
        <v>4.0999999999999996</v>
      </c>
      <c r="G222" s="1">
        <v>153852.43</v>
      </c>
      <c r="H222" s="1">
        <v>3</v>
      </c>
      <c r="I222" s="1">
        <v>8</v>
      </c>
      <c r="J222" s="1">
        <v>30</v>
      </c>
      <c r="K222" s="1">
        <v>1</v>
      </c>
      <c r="L222" s="1">
        <v>46</v>
      </c>
      <c r="M222" s="1">
        <v>4</v>
      </c>
      <c r="N222" s="2">
        <v>7</v>
      </c>
      <c r="O222" s="7">
        <f t="shared" ca="1" si="6"/>
        <v>4</v>
      </c>
      <c r="P222" s="6" t="str">
        <f t="shared" ca="1" si="7"/>
        <v>No Bounes</v>
      </c>
      <c r="Q222" t="str">
        <f>TEXT(data[[#This Row],[Join_Date]],"mmmm")</f>
        <v>September</v>
      </c>
      <c r="R222" t="str">
        <f>TEXT(data[[#This Row],[Join_Date]],"yyyy")</f>
        <v>2022</v>
      </c>
    </row>
    <row r="223" spans="1:18">
      <c r="A223" s="8" t="s">
        <v>255</v>
      </c>
      <c r="B223" s="1" t="s">
        <v>59</v>
      </c>
      <c r="C223" s="1" t="s">
        <v>27</v>
      </c>
      <c r="D223" s="1" t="s">
        <v>31</v>
      </c>
      <c r="E223" s="5">
        <v>44870</v>
      </c>
      <c r="F223" s="1">
        <v>2.5</v>
      </c>
      <c r="G223" s="1">
        <v>68365.58</v>
      </c>
      <c r="H223" s="1">
        <v>3</v>
      </c>
      <c r="I223" s="1">
        <v>9</v>
      </c>
      <c r="J223" s="1">
        <v>31</v>
      </c>
      <c r="K223" s="1">
        <v>8</v>
      </c>
      <c r="L223" s="1">
        <v>101</v>
      </c>
      <c r="M223" s="1">
        <v>8</v>
      </c>
      <c r="N223" s="2">
        <v>6</v>
      </c>
      <c r="O223" s="7">
        <f t="shared" ca="1" si="6"/>
        <v>3</v>
      </c>
      <c r="P223" s="6" t="str">
        <f t="shared" ca="1" si="7"/>
        <v>No Bounes</v>
      </c>
      <c r="Q223" t="str">
        <f>TEXT(data[[#This Row],[Join_Date]],"mmmm")</f>
        <v>November</v>
      </c>
      <c r="R223" t="str">
        <f>TEXT(data[[#This Row],[Join_Date]],"yyyy")</f>
        <v>2022</v>
      </c>
    </row>
    <row r="224" spans="1:18">
      <c r="A224" s="8" t="s">
        <v>256</v>
      </c>
      <c r="B224" s="1" t="s">
        <v>59</v>
      </c>
      <c r="C224" s="1" t="s">
        <v>23</v>
      </c>
      <c r="D224" s="1" t="s">
        <v>31</v>
      </c>
      <c r="E224" s="5">
        <v>44499</v>
      </c>
      <c r="F224" s="1">
        <v>6.4</v>
      </c>
      <c r="G224" s="1">
        <v>130134.85</v>
      </c>
      <c r="H224" s="1">
        <v>5</v>
      </c>
      <c r="I224" s="1">
        <v>4</v>
      </c>
      <c r="J224" s="1">
        <v>54</v>
      </c>
      <c r="K224" s="1">
        <v>5</v>
      </c>
      <c r="L224" s="1">
        <v>121</v>
      </c>
      <c r="M224" s="1">
        <v>7</v>
      </c>
      <c r="N224" s="2">
        <v>3</v>
      </c>
      <c r="O224" s="7">
        <f t="shared" ca="1" si="6"/>
        <v>4</v>
      </c>
      <c r="P224" s="6" t="str">
        <f t="shared" ca="1" si="7"/>
        <v>No Bounes</v>
      </c>
      <c r="Q224" t="str">
        <f>TEXT(data[[#This Row],[Join_Date]],"mmmm")</f>
        <v>October</v>
      </c>
      <c r="R224" t="str">
        <f>TEXT(data[[#This Row],[Join_Date]],"yyyy")</f>
        <v>2021</v>
      </c>
    </row>
    <row r="225" spans="1:18">
      <c r="A225" s="8" t="s">
        <v>257</v>
      </c>
      <c r="B225" s="1" t="s">
        <v>49</v>
      </c>
      <c r="C225" s="1" t="s">
        <v>23</v>
      </c>
      <c r="D225" s="1" t="s">
        <v>28</v>
      </c>
      <c r="E225" s="5">
        <v>44920</v>
      </c>
      <c r="F225" s="1">
        <v>4.7</v>
      </c>
      <c r="G225" s="1">
        <v>122938.36</v>
      </c>
      <c r="H225" s="1">
        <v>2</v>
      </c>
      <c r="I225" s="1">
        <v>12</v>
      </c>
      <c r="J225" s="1">
        <v>42</v>
      </c>
      <c r="K225" s="1">
        <v>6</v>
      </c>
      <c r="L225" s="1">
        <v>107</v>
      </c>
      <c r="M225" s="1">
        <v>1</v>
      </c>
      <c r="N225" s="2">
        <v>10</v>
      </c>
      <c r="O225" s="7">
        <f t="shared" ca="1" si="6"/>
        <v>3</v>
      </c>
      <c r="P225" s="6" t="str">
        <f t="shared" ca="1" si="7"/>
        <v>No Bounes</v>
      </c>
      <c r="Q225" t="str">
        <f>TEXT(data[[#This Row],[Join_Date]],"mmmm")</f>
        <v>December</v>
      </c>
      <c r="R225" t="str">
        <f>TEXT(data[[#This Row],[Join_Date]],"yyyy")</f>
        <v>2022</v>
      </c>
    </row>
    <row r="226" spans="1:18">
      <c r="A226" s="8" t="s">
        <v>258</v>
      </c>
      <c r="B226" s="1" t="s">
        <v>59</v>
      </c>
      <c r="C226" s="1" t="s">
        <v>45</v>
      </c>
      <c r="D226" s="1" t="s">
        <v>36</v>
      </c>
      <c r="E226" s="5">
        <v>44485</v>
      </c>
      <c r="F226" s="1">
        <v>6.3</v>
      </c>
      <c r="G226" s="1">
        <v>150035.35</v>
      </c>
      <c r="H226" s="1">
        <v>2</v>
      </c>
      <c r="I226" s="1">
        <v>6</v>
      </c>
      <c r="J226" s="1">
        <v>43</v>
      </c>
      <c r="K226" s="1">
        <v>7</v>
      </c>
      <c r="L226" s="1">
        <v>93</v>
      </c>
      <c r="M226" s="1">
        <v>5</v>
      </c>
      <c r="N226" s="2">
        <v>4</v>
      </c>
      <c r="O226" s="7">
        <f t="shared" ca="1" si="6"/>
        <v>5</v>
      </c>
      <c r="P226" s="6" t="str">
        <f t="shared" ca="1" si="7"/>
        <v>No Bounes</v>
      </c>
      <c r="Q226" t="str">
        <f>TEXT(data[[#This Row],[Join_Date]],"mmmm")</f>
        <v>October</v>
      </c>
      <c r="R226" t="str">
        <f>TEXT(data[[#This Row],[Join_Date]],"yyyy")</f>
        <v>2021</v>
      </c>
    </row>
    <row r="227" spans="1:18">
      <c r="A227" s="8" t="s">
        <v>259</v>
      </c>
      <c r="B227" s="1" t="s">
        <v>59</v>
      </c>
      <c r="C227" s="1" t="s">
        <v>20</v>
      </c>
      <c r="D227" s="1" t="s">
        <v>31</v>
      </c>
      <c r="E227" s="5">
        <v>43993</v>
      </c>
      <c r="F227" s="1">
        <v>13.3</v>
      </c>
      <c r="G227" s="1">
        <v>154976.26</v>
      </c>
      <c r="H227" s="1">
        <v>4</v>
      </c>
      <c r="I227" s="1">
        <v>11</v>
      </c>
      <c r="J227" s="1">
        <v>44</v>
      </c>
      <c r="K227" s="1">
        <v>8</v>
      </c>
      <c r="L227" s="1">
        <v>92</v>
      </c>
      <c r="M227" s="1">
        <v>2</v>
      </c>
      <c r="N227" s="2">
        <v>9</v>
      </c>
      <c r="O227" s="7">
        <f t="shared" ca="1" si="6"/>
        <v>6</v>
      </c>
      <c r="P227" s="6" t="str">
        <f t="shared" ca="1" si="7"/>
        <v>Get Bounes</v>
      </c>
      <c r="Q227" t="str">
        <f>TEXT(data[[#This Row],[Join_Date]],"mmmm")</f>
        <v>June</v>
      </c>
      <c r="R227" t="str">
        <f>TEXT(data[[#This Row],[Join_Date]],"yyyy")</f>
        <v>2020</v>
      </c>
    </row>
    <row r="228" spans="1:18">
      <c r="A228" s="8" t="s">
        <v>260</v>
      </c>
      <c r="B228" s="1" t="s">
        <v>59</v>
      </c>
      <c r="C228" s="1" t="s">
        <v>23</v>
      </c>
      <c r="D228" s="1" t="s">
        <v>36</v>
      </c>
      <c r="E228" s="5">
        <v>44023</v>
      </c>
      <c r="F228" s="1">
        <v>4.2</v>
      </c>
      <c r="G228" s="1">
        <v>115825.37</v>
      </c>
      <c r="H228" s="1">
        <v>3</v>
      </c>
      <c r="I228" s="1">
        <v>9</v>
      </c>
      <c r="J228" s="1">
        <v>38</v>
      </c>
      <c r="K228" s="1">
        <v>4</v>
      </c>
      <c r="L228" s="1">
        <v>31</v>
      </c>
      <c r="M228" s="1">
        <v>9</v>
      </c>
      <c r="N228" s="2">
        <v>9</v>
      </c>
      <c r="O228" s="7">
        <f t="shared" ca="1" si="6"/>
        <v>6</v>
      </c>
      <c r="P228" s="6" t="str">
        <f t="shared" ca="1" si="7"/>
        <v>No Bounes</v>
      </c>
      <c r="Q228" t="str">
        <f>TEXT(data[[#This Row],[Join_Date]],"mmmm")</f>
        <v>July</v>
      </c>
      <c r="R228" t="str">
        <f>TEXT(data[[#This Row],[Join_Date]],"yyyy")</f>
        <v>2020</v>
      </c>
    </row>
    <row r="229" spans="1:18">
      <c r="A229" s="8" t="s">
        <v>261</v>
      </c>
      <c r="B229" s="1" t="s">
        <v>30</v>
      </c>
      <c r="C229" s="1" t="s">
        <v>20</v>
      </c>
      <c r="D229" s="1" t="s">
        <v>31</v>
      </c>
      <c r="E229" s="5">
        <v>45182</v>
      </c>
      <c r="F229" s="1">
        <v>7.7</v>
      </c>
      <c r="G229" s="1">
        <v>112437.82</v>
      </c>
      <c r="H229" s="1">
        <v>5</v>
      </c>
      <c r="I229" s="1">
        <v>8</v>
      </c>
      <c r="J229" s="1">
        <v>42</v>
      </c>
      <c r="K229" s="1">
        <v>4</v>
      </c>
      <c r="L229" s="1">
        <v>76</v>
      </c>
      <c r="M229" s="1">
        <v>7</v>
      </c>
      <c r="N229" s="2">
        <v>8</v>
      </c>
      <c r="O229" s="7">
        <f t="shared" ca="1" si="6"/>
        <v>3</v>
      </c>
      <c r="P229" s="6" t="str">
        <f t="shared" ca="1" si="7"/>
        <v>No Bounes</v>
      </c>
      <c r="Q229" t="str">
        <f>TEXT(data[[#This Row],[Join_Date]],"mmmm")</f>
        <v>September</v>
      </c>
      <c r="R229" t="str">
        <f>TEXT(data[[#This Row],[Join_Date]],"yyyy")</f>
        <v>2023</v>
      </c>
    </row>
    <row r="230" spans="1:18">
      <c r="A230" s="8" t="s">
        <v>262</v>
      </c>
      <c r="B230" s="1" t="s">
        <v>19</v>
      </c>
      <c r="C230" s="1" t="s">
        <v>20</v>
      </c>
      <c r="D230" s="1" t="s">
        <v>24</v>
      </c>
      <c r="E230" s="5">
        <v>44079</v>
      </c>
      <c r="F230" s="1">
        <v>9.9</v>
      </c>
      <c r="G230" s="1">
        <v>122925.41</v>
      </c>
      <c r="H230" s="1">
        <v>5</v>
      </c>
      <c r="I230" s="1">
        <v>8</v>
      </c>
      <c r="J230" s="1">
        <v>36</v>
      </c>
      <c r="K230" s="1">
        <v>3</v>
      </c>
      <c r="L230" s="1">
        <v>84</v>
      </c>
      <c r="M230" s="1">
        <v>8</v>
      </c>
      <c r="N230" s="2">
        <v>10</v>
      </c>
      <c r="O230" s="7">
        <f t="shared" ca="1" si="6"/>
        <v>6</v>
      </c>
      <c r="P230" s="6" t="str">
        <f t="shared" ca="1" si="7"/>
        <v>No Bounes</v>
      </c>
      <c r="Q230" t="str">
        <f>TEXT(data[[#This Row],[Join_Date]],"mmmm")</f>
        <v>September</v>
      </c>
      <c r="R230" t="str">
        <f>TEXT(data[[#This Row],[Join_Date]],"yyyy")</f>
        <v>2020</v>
      </c>
    </row>
    <row r="231" spans="1:18">
      <c r="A231" s="8" t="s">
        <v>263</v>
      </c>
      <c r="B231" s="1" t="s">
        <v>30</v>
      </c>
      <c r="C231" s="1" t="s">
        <v>39</v>
      </c>
      <c r="D231" s="1" t="s">
        <v>24</v>
      </c>
      <c r="E231" s="5">
        <v>43899</v>
      </c>
      <c r="F231" s="1">
        <v>4.0999999999999996</v>
      </c>
      <c r="G231" s="1">
        <v>56203.98</v>
      </c>
      <c r="H231" s="1">
        <v>1</v>
      </c>
      <c r="I231" s="1">
        <v>8</v>
      </c>
      <c r="J231" s="1">
        <v>48</v>
      </c>
      <c r="K231" s="1">
        <v>7</v>
      </c>
      <c r="L231" s="1">
        <v>128</v>
      </c>
      <c r="M231" s="1">
        <v>5</v>
      </c>
      <c r="N231" s="2">
        <v>2</v>
      </c>
      <c r="O231" s="7">
        <f t="shared" ca="1" si="6"/>
        <v>6</v>
      </c>
      <c r="P231" s="6" t="str">
        <f t="shared" ca="1" si="7"/>
        <v>No Bounes</v>
      </c>
      <c r="Q231" t="str">
        <f>TEXT(data[[#This Row],[Join_Date]],"mmmm")</f>
        <v>March</v>
      </c>
      <c r="R231" t="str">
        <f>TEXT(data[[#This Row],[Join_Date]],"yyyy")</f>
        <v>2020</v>
      </c>
    </row>
    <row r="232" spans="1:18">
      <c r="A232" s="8" t="s">
        <v>264</v>
      </c>
      <c r="B232" s="1" t="s">
        <v>30</v>
      </c>
      <c r="C232" s="1" t="s">
        <v>39</v>
      </c>
      <c r="D232" s="1" t="s">
        <v>24</v>
      </c>
      <c r="E232" s="5">
        <v>44389</v>
      </c>
      <c r="F232" s="1">
        <v>7.2</v>
      </c>
      <c r="G232" s="1">
        <v>58512.78</v>
      </c>
      <c r="H232" s="1">
        <v>5</v>
      </c>
      <c r="I232" s="1">
        <v>11</v>
      </c>
      <c r="J232" s="1">
        <v>32</v>
      </c>
      <c r="K232" s="1">
        <v>6</v>
      </c>
      <c r="L232" s="1">
        <v>90</v>
      </c>
      <c r="M232" s="1">
        <v>5</v>
      </c>
      <c r="N232" s="2">
        <v>10</v>
      </c>
      <c r="O232" s="7">
        <f t="shared" ca="1" si="6"/>
        <v>5</v>
      </c>
      <c r="P232" s="6" t="str">
        <f t="shared" ca="1" si="7"/>
        <v>No Bounes</v>
      </c>
      <c r="Q232" t="str">
        <f>TEXT(data[[#This Row],[Join_Date]],"mmmm")</f>
        <v>July</v>
      </c>
      <c r="R232" t="str">
        <f>TEXT(data[[#This Row],[Join_Date]],"yyyy")</f>
        <v>2021</v>
      </c>
    </row>
    <row r="233" spans="1:18">
      <c r="A233" s="8" t="s">
        <v>265</v>
      </c>
      <c r="B233" s="1" t="s">
        <v>38</v>
      </c>
      <c r="C233" s="1" t="s">
        <v>20</v>
      </c>
      <c r="D233" s="1" t="s">
        <v>36</v>
      </c>
      <c r="E233" s="5">
        <v>44866</v>
      </c>
      <c r="F233" s="1">
        <v>5.4</v>
      </c>
      <c r="G233" s="1">
        <v>113772.34</v>
      </c>
      <c r="H233" s="1">
        <v>3</v>
      </c>
      <c r="I233" s="1">
        <v>10</v>
      </c>
      <c r="J233" s="1">
        <v>53</v>
      </c>
      <c r="K233" s="1">
        <v>5</v>
      </c>
      <c r="L233" s="1">
        <v>107</v>
      </c>
      <c r="M233" s="1">
        <v>2</v>
      </c>
      <c r="N233" s="2">
        <v>6</v>
      </c>
      <c r="O233" s="7">
        <f t="shared" ca="1" si="6"/>
        <v>3</v>
      </c>
      <c r="P233" s="6" t="str">
        <f t="shared" ca="1" si="7"/>
        <v>No Bounes</v>
      </c>
      <c r="Q233" t="str">
        <f>TEXT(data[[#This Row],[Join_Date]],"mmmm")</f>
        <v>November</v>
      </c>
      <c r="R233" t="str">
        <f>TEXT(data[[#This Row],[Join_Date]],"yyyy")</f>
        <v>2022</v>
      </c>
    </row>
    <row r="234" spans="1:18">
      <c r="A234" s="8" t="s">
        <v>266</v>
      </c>
      <c r="B234" s="1" t="s">
        <v>26</v>
      </c>
      <c r="C234" s="1" t="s">
        <v>45</v>
      </c>
      <c r="D234" s="1" t="s">
        <v>36</v>
      </c>
      <c r="E234" s="5">
        <v>44310</v>
      </c>
      <c r="F234" s="1">
        <v>2.2999999999999998</v>
      </c>
      <c r="G234" s="1">
        <v>131092.20000000001</v>
      </c>
      <c r="H234" s="1">
        <v>3</v>
      </c>
      <c r="I234" s="1">
        <v>5</v>
      </c>
      <c r="J234" s="1">
        <v>44</v>
      </c>
      <c r="K234" s="1">
        <v>3</v>
      </c>
      <c r="L234" s="1">
        <v>130</v>
      </c>
      <c r="M234" s="1">
        <v>8</v>
      </c>
      <c r="N234" s="2">
        <v>7</v>
      </c>
      <c r="O234" s="7">
        <f t="shared" ca="1" si="6"/>
        <v>5</v>
      </c>
      <c r="P234" s="6" t="str">
        <f t="shared" ca="1" si="7"/>
        <v>No Bounes</v>
      </c>
      <c r="Q234" t="str">
        <f>TEXT(data[[#This Row],[Join_Date]],"mmmm")</f>
        <v>April</v>
      </c>
      <c r="R234" t="str">
        <f>TEXT(data[[#This Row],[Join_Date]],"yyyy")</f>
        <v>2021</v>
      </c>
    </row>
    <row r="235" spans="1:18">
      <c r="A235" s="8" t="s">
        <v>267</v>
      </c>
      <c r="B235" s="1" t="s">
        <v>19</v>
      </c>
      <c r="C235" s="1" t="s">
        <v>39</v>
      </c>
      <c r="D235" s="1" t="s">
        <v>24</v>
      </c>
      <c r="E235" s="5">
        <v>44846</v>
      </c>
      <c r="F235" s="1">
        <v>7.3</v>
      </c>
      <c r="G235" s="1">
        <v>65929.75</v>
      </c>
      <c r="H235" s="1">
        <v>4</v>
      </c>
      <c r="I235" s="1">
        <v>9</v>
      </c>
      <c r="J235" s="1">
        <v>17</v>
      </c>
      <c r="K235" s="1">
        <v>4</v>
      </c>
      <c r="L235" s="1">
        <v>93</v>
      </c>
      <c r="M235" s="1">
        <v>8</v>
      </c>
      <c r="N235" s="2">
        <v>2</v>
      </c>
      <c r="O235" s="7">
        <f t="shared" ca="1" si="6"/>
        <v>4</v>
      </c>
      <c r="P235" s="6" t="str">
        <f t="shared" ca="1" si="7"/>
        <v>No Bounes</v>
      </c>
      <c r="Q235" t="str">
        <f>TEXT(data[[#This Row],[Join_Date]],"mmmm")</f>
        <v>October</v>
      </c>
      <c r="R235" t="str">
        <f>TEXT(data[[#This Row],[Join_Date]],"yyyy")</f>
        <v>2022</v>
      </c>
    </row>
    <row r="236" spans="1:18">
      <c r="A236" s="8" t="s">
        <v>268</v>
      </c>
      <c r="B236" s="1" t="s">
        <v>59</v>
      </c>
      <c r="C236" s="1" t="s">
        <v>27</v>
      </c>
      <c r="D236" s="1" t="s">
        <v>36</v>
      </c>
      <c r="E236" s="5">
        <v>44752</v>
      </c>
      <c r="F236" s="1">
        <v>5.3</v>
      </c>
      <c r="G236" s="1">
        <v>76502.03</v>
      </c>
      <c r="H236" s="1">
        <v>3</v>
      </c>
      <c r="I236" s="1">
        <v>11</v>
      </c>
      <c r="J236" s="1">
        <v>46</v>
      </c>
      <c r="K236" s="1">
        <v>4</v>
      </c>
      <c r="L236" s="1">
        <v>130</v>
      </c>
      <c r="M236" s="1">
        <v>6</v>
      </c>
      <c r="N236" s="2">
        <v>6</v>
      </c>
      <c r="O236" s="7">
        <f t="shared" ca="1" si="6"/>
        <v>4</v>
      </c>
      <c r="P236" s="6" t="str">
        <f t="shared" ca="1" si="7"/>
        <v>No Bounes</v>
      </c>
      <c r="Q236" t="str">
        <f>TEXT(data[[#This Row],[Join_Date]],"mmmm")</f>
        <v>July</v>
      </c>
      <c r="R236" t="str">
        <f>TEXT(data[[#This Row],[Join_Date]],"yyyy")</f>
        <v>2022</v>
      </c>
    </row>
    <row r="237" spans="1:18">
      <c r="A237" s="8" t="s">
        <v>269</v>
      </c>
      <c r="B237" s="1" t="s">
        <v>30</v>
      </c>
      <c r="C237" s="1" t="s">
        <v>45</v>
      </c>
      <c r="D237" s="1" t="s">
        <v>36</v>
      </c>
      <c r="E237" s="5">
        <v>43882</v>
      </c>
      <c r="F237" s="1">
        <v>14.5</v>
      </c>
      <c r="G237" s="1">
        <v>217822.2</v>
      </c>
      <c r="H237" s="1">
        <v>2</v>
      </c>
      <c r="I237" s="1">
        <v>0</v>
      </c>
      <c r="J237" s="1">
        <v>32</v>
      </c>
      <c r="K237" s="1">
        <v>2</v>
      </c>
      <c r="L237" s="1">
        <v>62</v>
      </c>
      <c r="M237" s="1">
        <v>8</v>
      </c>
      <c r="N237" s="2">
        <v>9</v>
      </c>
      <c r="O237" s="7">
        <f t="shared" ca="1" si="6"/>
        <v>6</v>
      </c>
      <c r="P237" s="6" t="str">
        <f t="shared" ca="1" si="7"/>
        <v>Get Bounes</v>
      </c>
      <c r="Q237" t="str">
        <f>TEXT(data[[#This Row],[Join_Date]],"mmmm")</f>
        <v>February</v>
      </c>
      <c r="R237" t="str">
        <f>TEXT(data[[#This Row],[Join_Date]],"yyyy")</f>
        <v>2020</v>
      </c>
    </row>
    <row r="238" spans="1:18">
      <c r="A238" s="8" t="s">
        <v>270</v>
      </c>
      <c r="B238" s="1" t="s">
        <v>19</v>
      </c>
      <c r="C238" s="1" t="s">
        <v>23</v>
      </c>
      <c r="D238" s="1" t="s">
        <v>28</v>
      </c>
      <c r="E238" s="5">
        <v>44078</v>
      </c>
      <c r="F238" s="1">
        <v>8.3000000000000007</v>
      </c>
      <c r="G238" s="1">
        <v>146255.89000000001</v>
      </c>
      <c r="H238" s="1">
        <v>3</v>
      </c>
      <c r="I238" s="1">
        <v>12</v>
      </c>
      <c r="J238" s="1">
        <v>48</v>
      </c>
      <c r="K238" s="1">
        <v>3</v>
      </c>
      <c r="L238" s="1">
        <v>135</v>
      </c>
      <c r="M238" s="1">
        <v>6</v>
      </c>
      <c r="N238" s="2">
        <v>9</v>
      </c>
      <c r="O238" s="7">
        <f t="shared" ca="1" si="6"/>
        <v>6</v>
      </c>
      <c r="P238" s="6" t="str">
        <f t="shared" ca="1" si="7"/>
        <v>No Bounes</v>
      </c>
      <c r="Q238" t="str">
        <f>TEXT(data[[#This Row],[Join_Date]],"mmmm")</f>
        <v>September</v>
      </c>
      <c r="R238" t="str">
        <f>TEXT(data[[#This Row],[Join_Date]],"yyyy")</f>
        <v>2020</v>
      </c>
    </row>
    <row r="239" spans="1:18">
      <c r="A239" s="8" t="s">
        <v>271</v>
      </c>
      <c r="B239" s="1" t="s">
        <v>19</v>
      </c>
      <c r="C239" s="1" t="s">
        <v>45</v>
      </c>
      <c r="D239" s="1" t="s">
        <v>21</v>
      </c>
      <c r="E239" s="5">
        <v>44278</v>
      </c>
      <c r="F239" s="1">
        <v>2.2000000000000002</v>
      </c>
      <c r="G239" s="1">
        <v>123537.44</v>
      </c>
      <c r="H239" s="1">
        <v>1</v>
      </c>
      <c r="I239" s="1">
        <v>10</v>
      </c>
      <c r="J239" s="1">
        <v>35</v>
      </c>
      <c r="K239" s="1">
        <v>3</v>
      </c>
      <c r="L239" s="1">
        <v>76</v>
      </c>
      <c r="M239" s="1">
        <v>8</v>
      </c>
      <c r="N239" s="2">
        <v>10</v>
      </c>
      <c r="O239" s="7">
        <f t="shared" ca="1" si="6"/>
        <v>5</v>
      </c>
      <c r="P239" s="6" t="str">
        <f t="shared" ca="1" si="7"/>
        <v>No Bounes</v>
      </c>
      <c r="Q239" t="str">
        <f>TEXT(data[[#This Row],[Join_Date]],"mmmm")</f>
        <v>March</v>
      </c>
      <c r="R239" t="str">
        <f>TEXT(data[[#This Row],[Join_Date]],"yyyy")</f>
        <v>2021</v>
      </c>
    </row>
    <row r="240" spans="1:18">
      <c r="A240" s="8" t="s">
        <v>272</v>
      </c>
      <c r="B240" s="1" t="s">
        <v>49</v>
      </c>
      <c r="C240" s="1" t="s">
        <v>27</v>
      </c>
      <c r="D240" s="1" t="s">
        <v>24</v>
      </c>
      <c r="E240" s="5">
        <v>44952</v>
      </c>
      <c r="F240" s="1">
        <v>10.3</v>
      </c>
      <c r="G240" s="1">
        <v>89660.28</v>
      </c>
      <c r="H240" s="1">
        <v>4</v>
      </c>
      <c r="I240" s="1">
        <v>11</v>
      </c>
      <c r="J240" s="1">
        <v>46</v>
      </c>
      <c r="K240" s="1">
        <v>5</v>
      </c>
      <c r="L240" s="1">
        <v>38</v>
      </c>
      <c r="M240" s="1">
        <v>3</v>
      </c>
      <c r="N240" s="2">
        <v>3</v>
      </c>
      <c r="O240" s="7">
        <f t="shared" ca="1" si="6"/>
        <v>3</v>
      </c>
      <c r="P240" s="6" t="str">
        <f t="shared" ca="1" si="7"/>
        <v>No Bounes</v>
      </c>
      <c r="Q240" t="str">
        <f>TEXT(data[[#This Row],[Join_Date]],"mmmm")</f>
        <v>January</v>
      </c>
      <c r="R240" t="str">
        <f>TEXT(data[[#This Row],[Join_Date]],"yyyy")</f>
        <v>2023</v>
      </c>
    </row>
    <row r="241" spans="1:18">
      <c r="A241" s="8" t="s">
        <v>273</v>
      </c>
      <c r="B241" s="1" t="s">
        <v>59</v>
      </c>
      <c r="C241" s="1" t="s">
        <v>23</v>
      </c>
      <c r="D241" s="1" t="s">
        <v>21</v>
      </c>
      <c r="E241" s="5">
        <v>45221</v>
      </c>
      <c r="F241" s="1">
        <v>7.8</v>
      </c>
      <c r="G241" s="1">
        <v>139111.62</v>
      </c>
      <c r="H241" s="1">
        <v>4</v>
      </c>
      <c r="I241" s="1">
        <v>10</v>
      </c>
      <c r="J241" s="1">
        <v>45</v>
      </c>
      <c r="K241" s="1">
        <v>3</v>
      </c>
      <c r="L241" s="1">
        <v>101</v>
      </c>
      <c r="M241" s="1">
        <v>10</v>
      </c>
      <c r="N241" s="2">
        <v>1</v>
      </c>
      <c r="O241" s="7">
        <f t="shared" ca="1" si="6"/>
        <v>2</v>
      </c>
      <c r="P241" s="6" t="str">
        <f t="shared" ca="1" si="7"/>
        <v>No Bounes</v>
      </c>
      <c r="Q241" t="str">
        <f>TEXT(data[[#This Row],[Join_Date]],"mmmm")</f>
        <v>October</v>
      </c>
      <c r="R241" t="str">
        <f>TEXT(data[[#This Row],[Join_Date]],"yyyy")</f>
        <v>2023</v>
      </c>
    </row>
    <row r="242" spans="1:18">
      <c r="A242" s="8" t="s">
        <v>274</v>
      </c>
      <c r="B242" s="1" t="s">
        <v>38</v>
      </c>
      <c r="C242" s="1" t="s">
        <v>27</v>
      </c>
      <c r="D242" s="1" t="s">
        <v>21</v>
      </c>
      <c r="E242" s="5">
        <v>45210</v>
      </c>
      <c r="F242" s="1">
        <v>9</v>
      </c>
      <c r="G242" s="1">
        <v>102695.34</v>
      </c>
      <c r="H242" s="1">
        <v>1</v>
      </c>
      <c r="I242" s="1">
        <v>4</v>
      </c>
      <c r="J242" s="1">
        <v>27</v>
      </c>
      <c r="K242" s="1">
        <v>4</v>
      </c>
      <c r="L242" s="1">
        <v>90</v>
      </c>
      <c r="M242" s="1">
        <v>2</v>
      </c>
      <c r="N242" s="2">
        <v>9</v>
      </c>
      <c r="O242" s="7">
        <f t="shared" ca="1" si="6"/>
        <v>3</v>
      </c>
      <c r="P242" s="6" t="str">
        <f t="shared" ca="1" si="7"/>
        <v>No Bounes</v>
      </c>
      <c r="Q242" t="str">
        <f>TEXT(data[[#This Row],[Join_Date]],"mmmm")</f>
        <v>October</v>
      </c>
      <c r="R242" t="str">
        <f>TEXT(data[[#This Row],[Join_Date]],"yyyy")</f>
        <v>2023</v>
      </c>
    </row>
    <row r="243" spans="1:18">
      <c r="A243" s="8" t="s">
        <v>275</v>
      </c>
      <c r="B243" s="1" t="s">
        <v>19</v>
      </c>
      <c r="C243" s="1" t="s">
        <v>39</v>
      </c>
      <c r="D243" s="1" t="s">
        <v>36</v>
      </c>
      <c r="E243" s="5">
        <v>44533</v>
      </c>
      <c r="F243" s="1">
        <v>4</v>
      </c>
      <c r="G243" s="1">
        <v>51857.32</v>
      </c>
      <c r="H243" s="1">
        <v>2</v>
      </c>
      <c r="I243" s="1">
        <v>11</v>
      </c>
      <c r="J243" s="1">
        <v>28</v>
      </c>
      <c r="K243" s="1">
        <v>4</v>
      </c>
      <c r="L243" s="1">
        <v>85</v>
      </c>
      <c r="M243" s="1">
        <v>7</v>
      </c>
      <c r="N243" s="2">
        <v>2</v>
      </c>
      <c r="O243" s="7">
        <f t="shared" ca="1" si="6"/>
        <v>4</v>
      </c>
      <c r="P243" s="6" t="str">
        <f t="shared" ca="1" si="7"/>
        <v>No Bounes</v>
      </c>
      <c r="Q243" t="str">
        <f>TEXT(data[[#This Row],[Join_Date]],"mmmm")</f>
        <v>December</v>
      </c>
      <c r="R243" t="str">
        <f>TEXT(data[[#This Row],[Join_Date]],"yyyy")</f>
        <v>2021</v>
      </c>
    </row>
    <row r="244" spans="1:18">
      <c r="A244" s="8" t="s">
        <v>276</v>
      </c>
      <c r="B244" s="1" t="s">
        <v>38</v>
      </c>
      <c r="C244" s="1" t="s">
        <v>20</v>
      </c>
      <c r="D244" s="1" t="s">
        <v>31</v>
      </c>
      <c r="E244" s="5">
        <v>44839</v>
      </c>
      <c r="F244" s="1">
        <v>13</v>
      </c>
      <c r="G244" s="1">
        <v>134966.23000000001</v>
      </c>
      <c r="H244" s="1">
        <v>5</v>
      </c>
      <c r="I244" s="1">
        <v>11</v>
      </c>
      <c r="J244" s="1">
        <v>54</v>
      </c>
      <c r="K244" s="1">
        <v>8</v>
      </c>
      <c r="L244" s="1">
        <v>52</v>
      </c>
      <c r="M244" s="1">
        <v>6</v>
      </c>
      <c r="N244" s="2">
        <v>1</v>
      </c>
      <c r="O244" s="7">
        <f t="shared" ca="1" si="6"/>
        <v>4</v>
      </c>
      <c r="P244" s="6" t="str">
        <f t="shared" ca="1" si="7"/>
        <v>No Bounes</v>
      </c>
      <c r="Q244" t="str">
        <f>TEXT(data[[#This Row],[Join_Date]],"mmmm")</f>
        <v>October</v>
      </c>
      <c r="R244" t="str">
        <f>TEXT(data[[#This Row],[Join_Date]],"yyyy")</f>
        <v>2022</v>
      </c>
    </row>
    <row r="245" spans="1:18">
      <c r="A245" s="8" t="s">
        <v>277</v>
      </c>
      <c r="B245" s="1" t="s">
        <v>49</v>
      </c>
      <c r="C245" s="1" t="s">
        <v>45</v>
      </c>
      <c r="D245" s="1" t="s">
        <v>31</v>
      </c>
      <c r="E245" s="5">
        <v>44147</v>
      </c>
      <c r="F245" s="1">
        <v>4</v>
      </c>
      <c r="G245" s="1">
        <v>157521.12</v>
      </c>
      <c r="H245" s="1">
        <v>4</v>
      </c>
      <c r="I245" s="1">
        <v>9</v>
      </c>
      <c r="J245" s="1">
        <v>28</v>
      </c>
      <c r="K245" s="1">
        <v>4</v>
      </c>
      <c r="L245" s="1">
        <v>112</v>
      </c>
      <c r="M245" s="1">
        <v>5</v>
      </c>
      <c r="N245" s="2">
        <v>10</v>
      </c>
      <c r="O245" s="7">
        <f t="shared" ca="1" si="6"/>
        <v>5</v>
      </c>
      <c r="P245" s="6" t="str">
        <f t="shared" ca="1" si="7"/>
        <v>No Bounes</v>
      </c>
      <c r="Q245" t="str">
        <f>TEXT(data[[#This Row],[Join_Date]],"mmmm")</f>
        <v>November</v>
      </c>
      <c r="R245" t="str">
        <f>TEXT(data[[#This Row],[Join_Date]],"yyyy")</f>
        <v>2020</v>
      </c>
    </row>
    <row r="246" spans="1:18">
      <c r="A246" s="8" t="s">
        <v>278</v>
      </c>
      <c r="B246" s="1" t="s">
        <v>26</v>
      </c>
      <c r="C246" s="1" t="s">
        <v>45</v>
      </c>
      <c r="D246" s="1" t="s">
        <v>21</v>
      </c>
      <c r="E246" s="5">
        <v>45123</v>
      </c>
      <c r="F246" s="1">
        <v>3.6</v>
      </c>
      <c r="G246" s="1">
        <v>137142.96</v>
      </c>
      <c r="H246" s="1">
        <v>2</v>
      </c>
      <c r="I246" s="1">
        <v>10</v>
      </c>
      <c r="J246" s="1">
        <v>39</v>
      </c>
      <c r="K246" s="1">
        <v>7</v>
      </c>
      <c r="L246" s="1">
        <v>121</v>
      </c>
      <c r="M246" s="1">
        <v>7</v>
      </c>
      <c r="N246" s="2">
        <v>6</v>
      </c>
      <c r="O246" s="7">
        <f t="shared" ca="1" si="6"/>
        <v>3</v>
      </c>
      <c r="P246" s="6" t="str">
        <f t="shared" ca="1" si="7"/>
        <v>No Bounes</v>
      </c>
      <c r="Q246" t="str">
        <f>TEXT(data[[#This Row],[Join_Date]],"mmmm")</f>
        <v>July</v>
      </c>
      <c r="R246" t="str">
        <f>TEXT(data[[#This Row],[Join_Date]],"yyyy")</f>
        <v>2023</v>
      </c>
    </row>
    <row r="247" spans="1:18">
      <c r="A247" s="8" t="s">
        <v>279</v>
      </c>
      <c r="B247" s="1" t="s">
        <v>30</v>
      </c>
      <c r="C247" s="1" t="s">
        <v>45</v>
      </c>
      <c r="D247" s="1" t="s">
        <v>31</v>
      </c>
      <c r="E247" s="5">
        <v>44284</v>
      </c>
      <c r="F247" s="1">
        <v>14.2</v>
      </c>
      <c r="G247" s="1">
        <v>194670.37</v>
      </c>
      <c r="H247" s="1">
        <v>4</v>
      </c>
      <c r="I247" s="1">
        <v>9</v>
      </c>
      <c r="J247" s="1">
        <v>40</v>
      </c>
      <c r="K247" s="1">
        <v>6</v>
      </c>
      <c r="L247" s="1">
        <v>118</v>
      </c>
      <c r="M247" s="1">
        <v>3</v>
      </c>
      <c r="N247" s="2">
        <v>3</v>
      </c>
      <c r="O247" s="7">
        <f t="shared" ca="1" si="6"/>
        <v>5</v>
      </c>
      <c r="P247" s="6" t="str">
        <f t="shared" ca="1" si="7"/>
        <v>No Bounes</v>
      </c>
      <c r="Q247" t="str">
        <f>TEXT(data[[#This Row],[Join_Date]],"mmmm")</f>
        <v>March</v>
      </c>
      <c r="R247" t="str">
        <f>TEXT(data[[#This Row],[Join_Date]],"yyyy")</f>
        <v>2021</v>
      </c>
    </row>
    <row r="248" spans="1:18">
      <c r="A248" s="8" t="s">
        <v>280</v>
      </c>
      <c r="B248" s="1" t="s">
        <v>49</v>
      </c>
      <c r="C248" s="1" t="s">
        <v>23</v>
      </c>
      <c r="D248" s="1" t="s">
        <v>24</v>
      </c>
      <c r="E248" s="5">
        <v>43831</v>
      </c>
      <c r="F248" s="1">
        <v>14.4</v>
      </c>
      <c r="G248" s="1">
        <v>154973.9</v>
      </c>
      <c r="H248" s="1">
        <v>2</v>
      </c>
      <c r="I248" s="1">
        <v>8</v>
      </c>
      <c r="J248" s="1">
        <v>22</v>
      </c>
      <c r="K248" s="1">
        <v>2</v>
      </c>
      <c r="L248" s="1">
        <v>104</v>
      </c>
      <c r="M248" s="1">
        <v>7</v>
      </c>
      <c r="N248" s="2">
        <v>2</v>
      </c>
      <c r="O248" s="7">
        <f t="shared" ca="1" si="6"/>
        <v>6</v>
      </c>
      <c r="P248" s="6" t="str">
        <f t="shared" ca="1" si="7"/>
        <v>Get Bounes</v>
      </c>
      <c r="Q248" t="str">
        <f>TEXT(data[[#This Row],[Join_Date]],"mmmm")</f>
        <v>January</v>
      </c>
      <c r="R248" t="str">
        <f>TEXT(data[[#This Row],[Join_Date]],"yyyy")</f>
        <v>2020</v>
      </c>
    </row>
    <row r="249" spans="1:18">
      <c r="A249" s="8" t="s">
        <v>281</v>
      </c>
      <c r="B249" s="1" t="s">
        <v>26</v>
      </c>
      <c r="C249" s="1" t="s">
        <v>45</v>
      </c>
      <c r="D249" s="1" t="s">
        <v>36</v>
      </c>
      <c r="E249" s="5">
        <v>44736</v>
      </c>
      <c r="F249" s="1">
        <v>13.5</v>
      </c>
      <c r="G249" s="1">
        <v>207101.52</v>
      </c>
      <c r="H249" s="1">
        <v>1</v>
      </c>
      <c r="I249" s="1">
        <v>4</v>
      </c>
      <c r="J249" s="1">
        <v>38</v>
      </c>
      <c r="K249" s="1">
        <v>4</v>
      </c>
      <c r="L249" s="1">
        <v>129</v>
      </c>
      <c r="M249" s="1">
        <v>10</v>
      </c>
      <c r="N249" s="2">
        <v>8</v>
      </c>
      <c r="O249" s="7">
        <f t="shared" ca="1" si="6"/>
        <v>4</v>
      </c>
      <c r="P249" s="6" t="str">
        <f t="shared" ca="1" si="7"/>
        <v>No Bounes</v>
      </c>
      <c r="Q249" t="str">
        <f>TEXT(data[[#This Row],[Join_Date]],"mmmm")</f>
        <v>June</v>
      </c>
      <c r="R249" t="str">
        <f>TEXT(data[[#This Row],[Join_Date]],"yyyy")</f>
        <v>2022</v>
      </c>
    </row>
    <row r="250" spans="1:18">
      <c r="A250" s="8" t="s">
        <v>282</v>
      </c>
      <c r="B250" s="1" t="s">
        <v>19</v>
      </c>
      <c r="C250" s="1" t="s">
        <v>45</v>
      </c>
      <c r="D250" s="1" t="s">
        <v>21</v>
      </c>
      <c r="E250" s="5">
        <v>44292</v>
      </c>
      <c r="F250" s="1">
        <v>4.8</v>
      </c>
      <c r="G250" s="1">
        <v>152741.35</v>
      </c>
      <c r="H250" s="1">
        <v>1</v>
      </c>
      <c r="I250" s="1">
        <v>6</v>
      </c>
      <c r="J250" s="1">
        <v>20</v>
      </c>
      <c r="K250" s="1">
        <v>4</v>
      </c>
      <c r="L250" s="1">
        <v>119</v>
      </c>
      <c r="M250" s="1">
        <v>6</v>
      </c>
      <c r="N250" s="2">
        <v>9</v>
      </c>
      <c r="O250" s="7">
        <f t="shared" ca="1" si="6"/>
        <v>5</v>
      </c>
      <c r="P250" s="6" t="str">
        <f t="shared" ca="1" si="7"/>
        <v>No Bounes</v>
      </c>
      <c r="Q250" t="str">
        <f>TEXT(data[[#This Row],[Join_Date]],"mmmm")</f>
        <v>April</v>
      </c>
      <c r="R250" t="str">
        <f>TEXT(data[[#This Row],[Join_Date]],"yyyy")</f>
        <v>2021</v>
      </c>
    </row>
    <row r="251" spans="1:18">
      <c r="A251" s="14" t="s">
        <v>283</v>
      </c>
      <c r="B251" s="15" t="s">
        <v>26</v>
      </c>
      <c r="C251" s="15" t="s">
        <v>39</v>
      </c>
      <c r="D251" s="15" t="s">
        <v>21</v>
      </c>
      <c r="E251" s="16">
        <v>44462</v>
      </c>
      <c r="F251" s="15">
        <v>7.5</v>
      </c>
      <c r="G251" s="15">
        <v>57416.24</v>
      </c>
      <c r="H251" s="15">
        <v>4</v>
      </c>
      <c r="I251" s="15">
        <v>13</v>
      </c>
      <c r="J251" s="15">
        <v>30</v>
      </c>
      <c r="K251" s="15">
        <v>5</v>
      </c>
      <c r="L251" s="15">
        <v>66</v>
      </c>
      <c r="M251" s="15">
        <v>7</v>
      </c>
      <c r="N251" s="17">
        <v>2</v>
      </c>
      <c r="O251" s="7">
        <f t="shared" ca="1" si="6"/>
        <v>5</v>
      </c>
      <c r="P251" s="6" t="str">
        <f t="shared" ca="1" si="7"/>
        <v>No Bounes</v>
      </c>
      <c r="Q251" t="str">
        <f>TEXT(data[[#This Row],[Join_Date]],"mmmm")</f>
        <v>September</v>
      </c>
      <c r="R251" t="str">
        <f>TEXT(data[[#This Row],[Join_Date]],"yyyy")</f>
        <v>2021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491B-DE8C-4430-9686-E4182B1AABB8}">
  <dimension ref="A1:Q28"/>
  <sheetViews>
    <sheetView topLeftCell="A5" workbookViewId="0">
      <selection activeCell="E17" sqref="E17"/>
    </sheetView>
  </sheetViews>
  <sheetFormatPr defaultRowHeight="15"/>
  <cols>
    <col min="1" max="1" width="16" bestFit="1" customWidth="1"/>
    <col min="2" max="2" width="19.42578125" bestFit="1" customWidth="1"/>
    <col min="4" max="4" width="10.7109375" customWidth="1"/>
    <col min="5" max="5" width="21.85546875" bestFit="1" customWidth="1"/>
    <col min="6" max="6" width="8.140625" bestFit="1" customWidth="1"/>
    <col min="7" max="7" width="5.42578125" bestFit="1" customWidth="1"/>
    <col min="8" max="8" width="16" bestFit="1" customWidth="1"/>
    <col min="9" max="9" width="22.7109375" bestFit="1" customWidth="1"/>
    <col min="10" max="10" width="21.28515625" bestFit="1" customWidth="1"/>
    <col min="11" max="11" width="26.7109375" bestFit="1" customWidth="1"/>
    <col min="12" max="12" width="16" customWidth="1"/>
    <col min="13" max="13" width="26.42578125" customWidth="1"/>
    <col min="16" max="16" width="20.140625" bestFit="1" customWidth="1"/>
    <col min="17" max="17" width="26.7109375" bestFit="1" customWidth="1"/>
  </cols>
  <sheetData>
    <row r="1" spans="1:17">
      <c r="A1" t="s">
        <v>284</v>
      </c>
      <c r="D1" t="s">
        <v>285</v>
      </c>
      <c r="H1" s="19" t="s">
        <v>0</v>
      </c>
      <c r="I1" t="s">
        <v>286</v>
      </c>
      <c r="L1" s="19" t="s">
        <v>0</v>
      </c>
      <c r="M1" t="s">
        <v>287</v>
      </c>
      <c r="P1" s="19" t="s">
        <v>5</v>
      </c>
      <c r="Q1" t="s">
        <v>288</v>
      </c>
    </row>
    <row r="2" spans="1:17">
      <c r="A2" s="18">
        <v>250</v>
      </c>
      <c r="D2" s="22">
        <v>2358</v>
      </c>
      <c r="H2" t="s">
        <v>138</v>
      </c>
      <c r="I2" s="22">
        <v>10</v>
      </c>
      <c r="L2" t="s">
        <v>194</v>
      </c>
      <c r="M2" s="22">
        <v>14</v>
      </c>
      <c r="P2">
        <v>2.1</v>
      </c>
      <c r="Q2" s="22">
        <v>5</v>
      </c>
    </row>
    <row r="3" spans="1:17">
      <c r="H3" t="s">
        <v>222</v>
      </c>
      <c r="I3" s="22">
        <v>8</v>
      </c>
      <c r="L3" t="s">
        <v>222</v>
      </c>
      <c r="M3" s="22">
        <v>14</v>
      </c>
      <c r="P3">
        <v>2.4</v>
      </c>
      <c r="Q3" s="22">
        <v>5</v>
      </c>
    </row>
    <row r="4" spans="1:17">
      <c r="H4" t="s">
        <v>176</v>
      </c>
      <c r="I4" s="22">
        <v>6</v>
      </c>
      <c r="L4" t="s">
        <v>138</v>
      </c>
      <c r="M4" s="22">
        <v>12</v>
      </c>
      <c r="P4">
        <v>2.8</v>
      </c>
      <c r="Q4" s="22">
        <v>5</v>
      </c>
    </row>
    <row r="5" spans="1:17">
      <c r="A5" t="s">
        <v>289</v>
      </c>
      <c r="D5" s="19" t="s">
        <v>0</v>
      </c>
      <c r="E5" t="s">
        <v>288</v>
      </c>
      <c r="H5" t="s">
        <v>52</v>
      </c>
      <c r="I5" s="22">
        <v>5</v>
      </c>
      <c r="L5" t="s">
        <v>75</v>
      </c>
      <c r="M5" s="22">
        <v>11</v>
      </c>
      <c r="P5">
        <v>4.3</v>
      </c>
      <c r="Q5" s="22">
        <v>3</v>
      </c>
    </row>
    <row r="6" spans="1:17">
      <c r="A6" s="21">
        <v>7.7467999999999986</v>
      </c>
      <c r="D6" t="s">
        <v>176</v>
      </c>
      <c r="E6" s="22">
        <v>5</v>
      </c>
      <c r="H6" t="s">
        <v>246</v>
      </c>
      <c r="I6" s="22">
        <v>4</v>
      </c>
      <c r="L6" t="s">
        <v>176</v>
      </c>
      <c r="M6" s="22">
        <v>10</v>
      </c>
      <c r="P6">
        <v>4.5</v>
      </c>
      <c r="Q6" s="22">
        <v>5</v>
      </c>
    </row>
    <row r="7" spans="1:17">
      <c r="D7" t="s">
        <v>222</v>
      </c>
      <c r="E7" s="22">
        <v>5</v>
      </c>
      <c r="H7" t="s">
        <v>75</v>
      </c>
      <c r="I7" s="22">
        <v>4</v>
      </c>
      <c r="L7" t="s">
        <v>52</v>
      </c>
      <c r="M7" s="22">
        <v>8</v>
      </c>
      <c r="P7">
        <v>11.9</v>
      </c>
      <c r="Q7" s="22">
        <v>4</v>
      </c>
    </row>
    <row r="8" spans="1:17">
      <c r="D8" t="s">
        <v>194</v>
      </c>
      <c r="E8" s="22">
        <v>5</v>
      </c>
      <c r="H8" t="s">
        <v>34</v>
      </c>
      <c r="I8" s="22">
        <v>4</v>
      </c>
      <c r="L8" t="s">
        <v>246</v>
      </c>
      <c r="M8" s="22">
        <v>7</v>
      </c>
      <c r="P8">
        <v>12.2</v>
      </c>
      <c r="Q8" s="22">
        <v>5</v>
      </c>
    </row>
    <row r="9" spans="1:17">
      <c r="D9" t="s">
        <v>52</v>
      </c>
      <c r="E9" s="22">
        <v>5</v>
      </c>
      <c r="H9" t="s">
        <v>194</v>
      </c>
      <c r="I9" s="22">
        <v>3</v>
      </c>
      <c r="L9" t="s">
        <v>34</v>
      </c>
      <c r="M9" s="22">
        <v>6</v>
      </c>
      <c r="P9">
        <v>14.6</v>
      </c>
      <c r="Q9" s="22">
        <v>5</v>
      </c>
    </row>
    <row r="10" spans="1:17">
      <c r="A10" t="s">
        <v>290</v>
      </c>
      <c r="D10" t="s">
        <v>75</v>
      </c>
      <c r="E10" s="22">
        <v>5</v>
      </c>
    </row>
    <row r="11" spans="1:17">
      <c r="A11" s="20">
        <v>120746.45132000009</v>
      </c>
      <c r="D11" t="s">
        <v>138</v>
      </c>
      <c r="E11" s="22">
        <v>5</v>
      </c>
    </row>
    <row r="12" spans="1:17">
      <c r="D12" t="s">
        <v>34</v>
      </c>
      <c r="E12" s="22">
        <v>4</v>
      </c>
    </row>
    <row r="13" spans="1:17">
      <c r="D13" t="s">
        <v>246</v>
      </c>
      <c r="E13" s="22">
        <v>3</v>
      </c>
    </row>
    <row r="16" spans="1:17">
      <c r="A16" t="s">
        <v>291</v>
      </c>
    </row>
    <row r="17" spans="1:5">
      <c r="A17" s="22">
        <v>3.032</v>
      </c>
      <c r="D17" s="19" t="s">
        <v>16</v>
      </c>
      <c r="E17" t="s">
        <v>292</v>
      </c>
    </row>
    <row r="18" spans="1:5">
      <c r="D18" t="s">
        <v>293</v>
      </c>
      <c r="E18" s="22">
        <v>33</v>
      </c>
    </row>
    <row r="19" spans="1:5">
      <c r="D19" t="s">
        <v>294</v>
      </c>
      <c r="E19" s="22">
        <v>68</v>
      </c>
    </row>
    <row r="20" spans="1:5">
      <c r="A20" s="19" t="s">
        <v>0</v>
      </c>
      <c r="B20" t="s">
        <v>295</v>
      </c>
      <c r="D20" t="s">
        <v>296</v>
      </c>
      <c r="E20" s="22">
        <v>31</v>
      </c>
    </row>
    <row r="21" spans="1:5">
      <c r="A21" t="s">
        <v>52</v>
      </c>
      <c r="B21" s="22">
        <v>6</v>
      </c>
      <c r="D21" t="s">
        <v>297</v>
      </c>
      <c r="E21" s="22">
        <v>39</v>
      </c>
    </row>
    <row r="22" spans="1:5">
      <c r="A22" t="s">
        <v>222</v>
      </c>
      <c r="B22" s="22">
        <v>6</v>
      </c>
      <c r="D22" t="s">
        <v>298</v>
      </c>
      <c r="E22" s="22">
        <v>48</v>
      </c>
    </row>
    <row r="23" spans="1:5">
      <c r="A23" t="s">
        <v>138</v>
      </c>
      <c r="B23" s="22">
        <v>6</v>
      </c>
      <c r="D23" t="s">
        <v>299</v>
      </c>
      <c r="E23" s="22">
        <v>33</v>
      </c>
    </row>
    <row r="24" spans="1:5">
      <c r="A24" t="s">
        <v>246</v>
      </c>
      <c r="B24" s="22">
        <v>5</v>
      </c>
      <c r="D24" t="s">
        <v>300</v>
      </c>
      <c r="E24" s="22">
        <v>41</v>
      </c>
    </row>
    <row r="25" spans="1:5">
      <c r="A25" t="s">
        <v>75</v>
      </c>
      <c r="B25" s="22">
        <v>4</v>
      </c>
    </row>
    <row r="26" spans="1:5">
      <c r="A26" t="s">
        <v>34</v>
      </c>
      <c r="B26" s="22">
        <v>3</v>
      </c>
    </row>
    <row r="27" spans="1:5">
      <c r="A27" t="s">
        <v>176</v>
      </c>
      <c r="B27" s="22">
        <v>3</v>
      </c>
    </row>
    <row r="28" spans="1:5">
      <c r="A28" t="s">
        <v>194</v>
      </c>
      <c r="B28" s="22">
        <v>3</v>
      </c>
    </row>
  </sheetData>
  <pageMargins left="0.7" right="0.7" top="0.75" bottom="0.75" header="0.3" footer="0.3"/>
  <drawing r:id="rId12"/>
  <extLst>
    <ext xmlns:x14="http://schemas.microsoft.com/office/spreadsheetml/2009/9/main" uri="{A8765BA9-456A-4dab-B4F3-ACF838C121DE}">
      <x14:slicerList>
        <x14:slicer r:id="rId1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37A18-7466-42E8-AEFC-E8821EE72494}">
  <dimension ref="Q5:AO6"/>
  <sheetViews>
    <sheetView showGridLines="0" tabSelected="1" workbookViewId="0">
      <selection activeCell="Q35" sqref="Q35"/>
    </sheetView>
  </sheetViews>
  <sheetFormatPr defaultRowHeight="15"/>
  <cols>
    <col min="1" max="16" width="9.140625" style="3"/>
    <col min="17" max="17" width="9.140625" style="25"/>
    <col min="18" max="28" width="9.140625" style="3"/>
    <col min="29" max="29" width="21.28515625" style="3" bestFit="1" customWidth="1"/>
    <col min="30" max="40" width="9.140625" style="3"/>
    <col min="41" max="41" width="21.28515625" style="3" bestFit="1" customWidth="1"/>
    <col min="42" max="16384" width="9.140625" style="3"/>
  </cols>
  <sheetData>
    <row r="5" spans="41:41">
      <c r="AO5" s="23" t="s">
        <v>301</v>
      </c>
    </row>
    <row r="6" spans="41:41">
      <c r="AO6" s="24">
        <v>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2026-10-19T02:54:54Z</dcterms:created>
  <dcterms:modified xsi:type="dcterms:W3CDTF">2026-10-19T12:24:14Z</dcterms:modified>
  <cp:category/>
  <cp:contentStatus/>
</cp:coreProperties>
</file>